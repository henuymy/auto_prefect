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yuyu\Desktop\项目\自动通报\runtime\template_updater\templates\"/>
    </mc:Choice>
  </mc:AlternateContent>
  <xr:revisionPtr revIDLastSave="0" documentId="13_ncr:1_{DF6D5E7B-ACFB-44E7-9BA2-068D10E4946D}" xr6:coauthVersionLast="47" xr6:coauthVersionMax="47" xr10:uidLastSave="{00000000-0000-0000-0000-000000000000}"/>
  <bookViews>
    <workbookView xWindow="-120" yWindow="-120" windowWidth="38640" windowHeight="21240" xr2:uid="{47518A48-49E1-4CBC-BF1D-7AFAA356E3CB}"/>
  </bookViews>
  <sheets>
    <sheet name="日通报" sheetId="1" r:id="rId1"/>
    <sheet name="日累计通报" sheetId="2" r:id="rId2"/>
    <sheet name="通报" sheetId="3" r:id="rId3"/>
    <sheet name="通报语句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3" l="1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A1" i="4" s="1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A5" i="3"/>
</calcChain>
</file>

<file path=xl/sharedStrings.xml><?xml version="1.0" encoding="utf-8"?>
<sst xmlns="http://schemas.openxmlformats.org/spreadsheetml/2006/main" count="231" uniqueCount="48">
  <si>
    <t>郑州移动PK赛日通报</t>
  </si>
  <si>
    <t>序列</t>
  </si>
  <si>
    <t>分组</t>
  </si>
  <si>
    <t>分公司</t>
  </si>
  <si>
    <t>整体</t>
  </si>
  <si>
    <t>价值（55%）</t>
  </si>
  <si>
    <t>规模（45%）</t>
  </si>
  <si>
    <t>完成进度</t>
  </si>
  <si>
    <t>排名</t>
  </si>
  <si>
    <t>胜负</t>
  </si>
  <si>
    <t>家庭大颗粒</t>
  </si>
  <si>
    <t>大颗粒升档活动</t>
  </si>
  <si>
    <t>终端重合约</t>
  </si>
  <si>
    <t>HDICT</t>
  </si>
  <si>
    <t>中高端客户发展</t>
  </si>
  <si>
    <t>客户新增</t>
  </si>
  <si>
    <t>宽带发展</t>
  </si>
  <si>
    <t>爱家亲情网（低消版）</t>
  </si>
  <si>
    <t>占比</t>
  </si>
  <si>
    <t>郑州移动PK赛日累计通报</t>
  </si>
  <si>
    <t/>
  </si>
  <si>
    <t>城区</t>
  </si>
  <si>
    <t>第一组</t>
  </si>
  <si>
    <t>金水</t>
  </si>
  <si>
    <t>胜</t>
  </si>
  <si>
    <t>中原</t>
  </si>
  <si>
    <t>负</t>
  </si>
  <si>
    <t>第二组</t>
  </si>
  <si>
    <t>二七</t>
  </si>
  <si>
    <t>管城</t>
  </si>
  <si>
    <t>第三组</t>
  </si>
  <si>
    <t>郑东</t>
  </si>
  <si>
    <t>惠济</t>
  </si>
  <si>
    <t>县区</t>
  </si>
  <si>
    <t>第四组</t>
  </si>
  <si>
    <t>新郑</t>
  </si>
  <si>
    <t>中牟</t>
  </si>
  <si>
    <t>第五组</t>
  </si>
  <si>
    <t>新密</t>
  </si>
  <si>
    <t>荥阳</t>
  </si>
  <si>
    <t>第六组</t>
  </si>
  <si>
    <t>港区</t>
  </si>
  <si>
    <t>巩义</t>
  </si>
  <si>
    <t>第七组</t>
  </si>
  <si>
    <t>登封</t>
  </si>
  <si>
    <t>上街</t>
  </si>
  <si>
    <t>线上</t>
  </si>
  <si>
    <t>郑州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</si>
</sst>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b/>
      <sz val="9"/>
      <color rgb="FFFFFF00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2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>
      <alignment vertical="center"/>
    </xf>
    <xf numFmtId="0" fontId="4" fillId="0" borderId="1" xfId="0" applyFont="1" applyFill="1" applyBorder="1" applyAlignment="1">
      <alignment vertical="center" readingOrder="1"/>
    </xf>
    <xf numFmtId="10" fontId="5" fillId="0" borderId="1" xfId="1" applyNumberFormat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8BC7-FFFD-4AF8-AA27-7B10CFB826B1}">
  <dimension ref="A1:W20"/>
  <sheetViews>
    <sheetView tabSelected="1" zoomScale="160" zoomScaleNormal="160" workbookViewId="0">
      <selection sqref="A1:W20"/>
    </sheetView>
  </sheetViews>
  <sheetFormatPr defaultRowHeight="14.25" x14ac:dyDescent="0.2"/>
  <cols>
    <col min="20" max="22" width="9" style="1"/>
  </cols>
  <sheetData>
    <row r="1" spans="1:23" ht="22.5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6"/>
    </row>
    <row r="2" spans="1:23" x14ac:dyDescent="0.2">
      <c r="A2" s="13" t="s">
        <v>1</v>
      </c>
      <c r="B2" s="13" t="s">
        <v>2</v>
      </c>
      <c r="C2" s="13" t="s">
        <v>3</v>
      </c>
      <c r="D2" s="13" t="s">
        <v>4</v>
      </c>
      <c r="E2" s="13"/>
      <c r="F2" s="13"/>
      <c r="G2" s="13" t="s">
        <v>5</v>
      </c>
      <c r="H2" s="13"/>
      <c r="I2" s="13"/>
      <c r="J2" s="13"/>
      <c r="K2" s="13"/>
      <c r="L2" s="13"/>
      <c r="M2" s="13"/>
      <c r="N2" s="13"/>
      <c r="O2" s="13" t="s">
        <v>6</v>
      </c>
      <c r="P2" s="13"/>
      <c r="Q2" s="13"/>
      <c r="R2" s="13"/>
      <c r="S2" s="13"/>
      <c r="T2" s="13"/>
      <c r="U2" s="13"/>
      <c r="V2" s="13"/>
    </row>
    <row r="3" spans="1:23" ht="28.5" x14ac:dyDescent="0.2">
      <c r="A3" s="13"/>
      <c r="B3" s="13"/>
      <c r="C3" s="13"/>
      <c r="D3" s="11" t="s">
        <v>7</v>
      </c>
      <c r="E3" s="11" t="s">
        <v>8</v>
      </c>
      <c r="F3" s="11" t="s">
        <v>9</v>
      </c>
      <c r="G3" s="11" t="s">
        <v>10</v>
      </c>
      <c r="H3" s="11" t="s">
        <v>7</v>
      </c>
      <c r="I3" s="11" t="s">
        <v>11</v>
      </c>
      <c r="J3" s="11" t="s">
        <v>7</v>
      </c>
      <c r="K3" s="11" t="s">
        <v>12</v>
      </c>
      <c r="L3" s="11" t="s">
        <v>7</v>
      </c>
      <c r="M3" s="11" t="s">
        <v>13</v>
      </c>
      <c r="N3" s="11" t="s">
        <v>7</v>
      </c>
      <c r="O3" s="11" t="s">
        <v>14</v>
      </c>
      <c r="P3" s="11" t="s">
        <v>7</v>
      </c>
      <c r="Q3" s="11" t="s">
        <v>15</v>
      </c>
      <c r="R3" s="11" t="s">
        <v>7</v>
      </c>
      <c r="S3" s="11" t="s">
        <v>16</v>
      </c>
      <c r="T3" s="11" t="s">
        <v>7</v>
      </c>
      <c r="U3" s="11" t="s">
        <v>17</v>
      </c>
      <c r="V3" s="11" t="s">
        <v>7</v>
      </c>
    </row>
    <row r="4" spans="1:23" x14ac:dyDescent="0.2">
      <c r="A4" s="13" t="s">
        <v>18</v>
      </c>
      <c r="B4" s="13"/>
      <c r="C4" s="13"/>
      <c r="D4" s="14">
        <v>1</v>
      </c>
      <c r="E4" s="13"/>
      <c r="F4" s="13"/>
      <c r="G4" s="12">
        <v>0.15</v>
      </c>
      <c r="H4" s="12"/>
      <c r="I4" s="12">
        <v>0.15</v>
      </c>
      <c r="J4" s="12"/>
      <c r="K4" s="12">
        <v>0.15</v>
      </c>
      <c r="L4" s="12"/>
      <c r="M4" s="12">
        <v>0.1</v>
      </c>
      <c r="N4" s="12"/>
      <c r="O4" s="12">
        <v>0.15</v>
      </c>
      <c r="P4" s="12"/>
      <c r="Q4" s="12">
        <v>0.15</v>
      </c>
      <c r="R4" s="12"/>
      <c r="S4" s="12">
        <v>0.1</v>
      </c>
      <c r="T4" s="12"/>
      <c r="U4" s="12">
        <v>0.05</v>
      </c>
      <c r="V4" s="12"/>
    </row>
    <row r="5" spans="1:23" ht="12.75" customHeight="1" x14ac:dyDescent="0.2">
      <c r="A5" s="7" t="s">
        <v>21</v>
      </c>
      <c r="B5" s="8" t="s">
        <v>22</v>
      </c>
      <c r="C5" s="9" t="s">
        <v>23</v>
      </c>
      <c r="D5" s="3">
        <v>0.60109999999999997</v>
      </c>
      <c r="E5" s="10">
        <v>4</v>
      </c>
      <c r="F5" s="10" t="s">
        <v>24</v>
      </c>
      <c r="G5" s="5">
        <v>52</v>
      </c>
      <c r="H5" s="3">
        <v>0.55320000000000003</v>
      </c>
      <c r="I5" s="5">
        <v>0</v>
      </c>
      <c r="J5" s="3">
        <v>0</v>
      </c>
      <c r="K5" s="5">
        <v>11</v>
      </c>
      <c r="L5" s="3">
        <v>0.11700000000000001</v>
      </c>
      <c r="M5" s="5">
        <v>232</v>
      </c>
      <c r="N5" s="3">
        <v>0.40279999999999999</v>
      </c>
      <c r="O5" s="5">
        <v>4184</v>
      </c>
      <c r="P5" s="3">
        <v>2</v>
      </c>
      <c r="Q5" s="5">
        <v>0</v>
      </c>
      <c r="R5" s="3">
        <v>0</v>
      </c>
      <c r="S5" s="5">
        <v>225</v>
      </c>
      <c r="T5" s="3">
        <v>1.1029</v>
      </c>
      <c r="U5" s="5">
        <v>1808</v>
      </c>
      <c r="V5" s="3">
        <v>1</v>
      </c>
    </row>
    <row r="6" spans="1:23" x14ac:dyDescent="0.2">
      <c r="A6" s="7" t="s">
        <v>21</v>
      </c>
      <c r="B6" s="8" t="s">
        <v>22</v>
      </c>
      <c r="C6" s="9" t="s">
        <v>25</v>
      </c>
      <c r="D6" s="3">
        <v>0.57650000000000001</v>
      </c>
      <c r="E6" s="10">
        <v>7</v>
      </c>
      <c r="F6" s="10" t="s">
        <v>26</v>
      </c>
      <c r="G6" s="5">
        <v>28</v>
      </c>
      <c r="H6" s="3">
        <v>0.34150000000000003</v>
      </c>
      <c r="I6" s="5">
        <v>0</v>
      </c>
      <c r="J6" s="3">
        <v>0</v>
      </c>
      <c r="K6" s="5">
        <v>21</v>
      </c>
      <c r="L6" s="3">
        <v>0.26919999999999999</v>
      </c>
      <c r="M6" s="5">
        <v>318</v>
      </c>
      <c r="N6" s="3">
        <v>0.65569999999999995</v>
      </c>
      <c r="O6" s="5">
        <v>1622</v>
      </c>
      <c r="P6" s="3">
        <v>1.4907999999999999</v>
      </c>
      <c r="Q6" s="5">
        <v>0</v>
      </c>
      <c r="R6" s="3">
        <v>0</v>
      </c>
      <c r="S6" s="5">
        <v>252</v>
      </c>
      <c r="T6" s="3">
        <v>1.4565999999999999</v>
      </c>
      <c r="U6" s="5">
        <v>1786</v>
      </c>
      <c r="V6" s="3">
        <v>1</v>
      </c>
    </row>
    <row r="7" spans="1:23" x14ac:dyDescent="0.2">
      <c r="A7" s="7" t="s">
        <v>21</v>
      </c>
      <c r="B7" s="8" t="s">
        <v>27</v>
      </c>
      <c r="C7" s="9" t="s">
        <v>28</v>
      </c>
      <c r="D7" s="3">
        <v>0.47549999999999998</v>
      </c>
      <c r="E7" s="10">
        <v>10</v>
      </c>
      <c r="F7" s="10" t="s">
        <v>26</v>
      </c>
      <c r="G7" s="5">
        <v>23</v>
      </c>
      <c r="H7" s="3">
        <v>0.377</v>
      </c>
      <c r="I7" s="5">
        <v>0</v>
      </c>
      <c r="J7" s="3">
        <v>0</v>
      </c>
      <c r="K7" s="5">
        <v>56.5</v>
      </c>
      <c r="L7" s="3">
        <v>0.94169999999999998</v>
      </c>
      <c r="M7" s="5">
        <v>227</v>
      </c>
      <c r="N7" s="3">
        <v>0.61680000000000001</v>
      </c>
      <c r="O7" s="5">
        <v>244</v>
      </c>
      <c r="P7" s="3">
        <v>0.25850000000000001</v>
      </c>
      <c r="Q7" s="5">
        <v>0</v>
      </c>
      <c r="R7" s="3">
        <v>0</v>
      </c>
      <c r="S7" s="5">
        <v>168</v>
      </c>
      <c r="T7" s="3">
        <v>1.2726999999999999</v>
      </c>
      <c r="U7" s="5">
        <v>1452</v>
      </c>
      <c r="V7" s="3">
        <v>1</v>
      </c>
    </row>
    <row r="8" spans="1:23" x14ac:dyDescent="0.2">
      <c r="A8" s="7" t="s">
        <v>21</v>
      </c>
      <c r="B8" s="8" t="s">
        <v>27</v>
      </c>
      <c r="C8" s="9" t="s">
        <v>29</v>
      </c>
      <c r="D8" s="3">
        <v>0.56899999999999995</v>
      </c>
      <c r="E8" s="10">
        <v>8</v>
      </c>
      <c r="F8" s="10" t="s">
        <v>24</v>
      </c>
      <c r="G8" s="5">
        <v>12</v>
      </c>
      <c r="H8" s="3">
        <v>0.2</v>
      </c>
      <c r="I8" s="5">
        <v>0</v>
      </c>
      <c r="J8" s="3">
        <v>0</v>
      </c>
      <c r="K8" s="5">
        <v>10</v>
      </c>
      <c r="L8" s="3">
        <v>0.18179999999999999</v>
      </c>
      <c r="M8" s="5">
        <v>76</v>
      </c>
      <c r="N8" s="3">
        <v>0.22220000000000001</v>
      </c>
      <c r="O8" s="5">
        <v>3729</v>
      </c>
      <c r="P8" s="3">
        <v>2</v>
      </c>
      <c r="Q8" s="5">
        <v>0</v>
      </c>
      <c r="R8" s="3">
        <v>0</v>
      </c>
      <c r="S8" s="5">
        <v>173</v>
      </c>
      <c r="T8" s="3">
        <v>1.3952</v>
      </c>
      <c r="U8" s="5">
        <v>270</v>
      </c>
      <c r="V8" s="3">
        <v>1</v>
      </c>
    </row>
    <row r="9" spans="1:23" x14ac:dyDescent="0.2">
      <c r="A9" s="7" t="s">
        <v>21</v>
      </c>
      <c r="B9" s="8" t="s">
        <v>30</v>
      </c>
      <c r="C9" s="9" t="s">
        <v>31</v>
      </c>
      <c r="D9" s="3">
        <v>0.4733</v>
      </c>
      <c r="E9" s="10">
        <v>11</v>
      </c>
      <c r="F9" s="10" t="s">
        <v>24</v>
      </c>
      <c r="G9" s="5">
        <v>18</v>
      </c>
      <c r="H9" s="3">
        <v>0.5</v>
      </c>
      <c r="I9" s="5">
        <v>0</v>
      </c>
      <c r="J9" s="3">
        <v>0</v>
      </c>
      <c r="K9" s="5">
        <v>29</v>
      </c>
      <c r="L9" s="3">
        <v>0.70730000000000004</v>
      </c>
      <c r="M9" s="5">
        <v>212</v>
      </c>
      <c r="N9" s="3">
        <v>0.876</v>
      </c>
      <c r="O9" s="5">
        <v>35</v>
      </c>
      <c r="P9" s="3">
        <v>5.45E-2</v>
      </c>
      <c r="Q9" s="5">
        <v>0</v>
      </c>
      <c r="R9" s="3">
        <v>0</v>
      </c>
      <c r="S9" s="5">
        <v>123</v>
      </c>
      <c r="T9" s="3">
        <v>1.4642999999999999</v>
      </c>
      <c r="U9" s="5">
        <v>404</v>
      </c>
      <c r="V9" s="3">
        <v>1</v>
      </c>
    </row>
    <row r="10" spans="1:23" x14ac:dyDescent="0.2">
      <c r="A10" s="7" t="s">
        <v>21</v>
      </c>
      <c r="B10" s="8" t="s">
        <v>30</v>
      </c>
      <c r="C10" s="9" t="s">
        <v>32</v>
      </c>
      <c r="D10" s="3">
        <v>0.44940000000000002</v>
      </c>
      <c r="E10" s="10">
        <v>13</v>
      </c>
      <c r="F10" s="10" t="s">
        <v>26</v>
      </c>
      <c r="G10" s="5">
        <v>15</v>
      </c>
      <c r="H10" s="3">
        <v>0.4839</v>
      </c>
      <c r="I10" s="5">
        <v>0</v>
      </c>
      <c r="J10" s="3">
        <v>0</v>
      </c>
      <c r="K10" s="5">
        <v>10</v>
      </c>
      <c r="L10" s="3">
        <v>0.3226</v>
      </c>
      <c r="M10" s="5">
        <v>259</v>
      </c>
      <c r="N10" s="3">
        <v>1</v>
      </c>
      <c r="O10" s="5">
        <v>185</v>
      </c>
      <c r="P10" s="3">
        <v>0.42049999999999998</v>
      </c>
      <c r="Q10" s="5">
        <v>0</v>
      </c>
      <c r="R10" s="3">
        <v>0</v>
      </c>
      <c r="S10" s="5">
        <v>75</v>
      </c>
      <c r="T10" s="3">
        <v>1.1537999999999999</v>
      </c>
      <c r="U10" s="5">
        <v>195</v>
      </c>
      <c r="V10" s="3">
        <v>1</v>
      </c>
    </row>
    <row r="11" spans="1:23" x14ac:dyDescent="0.2">
      <c r="A11" s="7" t="s">
        <v>33</v>
      </c>
      <c r="B11" s="8" t="s">
        <v>34</v>
      </c>
      <c r="C11" s="9" t="s">
        <v>35</v>
      </c>
      <c r="D11" s="3">
        <v>0.58709999999999996</v>
      </c>
      <c r="E11" s="10">
        <v>6</v>
      </c>
      <c r="F11" s="10" t="s">
        <v>26</v>
      </c>
      <c r="G11" s="5">
        <v>20</v>
      </c>
      <c r="H11" s="3">
        <v>0.3448</v>
      </c>
      <c r="I11" s="5">
        <v>0</v>
      </c>
      <c r="J11" s="3">
        <v>0</v>
      </c>
      <c r="K11" s="5">
        <v>13</v>
      </c>
      <c r="L11" s="3">
        <v>0.22409999999999999</v>
      </c>
      <c r="M11" s="5">
        <v>191.5</v>
      </c>
      <c r="N11" s="3">
        <v>0.54249999999999998</v>
      </c>
      <c r="O11" s="5">
        <v>2125</v>
      </c>
      <c r="P11" s="3">
        <v>2</v>
      </c>
      <c r="Q11" s="5">
        <v>0</v>
      </c>
      <c r="R11" s="3">
        <v>0</v>
      </c>
      <c r="S11" s="5">
        <v>118</v>
      </c>
      <c r="T11" s="3">
        <v>0.97519999999999996</v>
      </c>
      <c r="U11" s="5">
        <v>282</v>
      </c>
      <c r="V11" s="3">
        <v>1</v>
      </c>
    </row>
    <row r="12" spans="1:23" x14ac:dyDescent="0.2">
      <c r="A12" s="7" t="s">
        <v>33</v>
      </c>
      <c r="B12" s="8" t="s">
        <v>34</v>
      </c>
      <c r="C12" s="9" t="s">
        <v>36</v>
      </c>
      <c r="D12" s="3">
        <v>0.64539999999999997</v>
      </c>
      <c r="E12" s="10">
        <v>1</v>
      </c>
      <c r="F12" s="10" t="s">
        <v>24</v>
      </c>
      <c r="G12" s="5">
        <v>35</v>
      </c>
      <c r="H12" s="3">
        <v>0.625</v>
      </c>
      <c r="I12" s="5">
        <v>0</v>
      </c>
      <c r="J12" s="3">
        <v>0</v>
      </c>
      <c r="K12" s="5">
        <v>14</v>
      </c>
      <c r="L12" s="3">
        <v>0.26419999999999999</v>
      </c>
      <c r="M12" s="5">
        <v>91.5</v>
      </c>
      <c r="N12" s="3">
        <v>0.27979999999999999</v>
      </c>
      <c r="O12" s="5">
        <v>1854</v>
      </c>
      <c r="P12" s="3">
        <v>2</v>
      </c>
      <c r="Q12" s="5">
        <v>0</v>
      </c>
      <c r="R12" s="3">
        <v>0</v>
      </c>
      <c r="S12" s="5">
        <v>180</v>
      </c>
      <c r="T12" s="3">
        <v>1.6215999999999999</v>
      </c>
      <c r="U12" s="5">
        <v>93</v>
      </c>
      <c r="V12" s="3">
        <v>0.43659999999999999</v>
      </c>
    </row>
    <row r="13" spans="1:23" x14ac:dyDescent="0.2">
      <c r="A13" s="7" t="s">
        <v>33</v>
      </c>
      <c r="B13" s="8" t="s">
        <v>37</v>
      </c>
      <c r="C13" s="9" t="s">
        <v>38</v>
      </c>
      <c r="D13" s="3">
        <v>0.55100000000000005</v>
      </c>
      <c r="E13" s="10">
        <v>9</v>
      </c>
      <c r="F13" s="10" t="s">
        <v>26</v>
      </c>
      <c r="G13" s="5">
        <v>33</v>
      </c>
      <c r="H13" s="3">
        <v>0.71740000000000004</v>
      </c>
      <c r="I13" s="5">
        <v>0</v>
      </c>
      <c r="J13" s="3">
        <v>0</v>
      </c>
      <c r="K13" s="5">
        <v>36</v>
      </c>
      <c r="L13" s="3">
        <v>0.9</v>
      </c>
      <c r="M13" s="5">
        <v>116</v>
      </c>
      <c r="N13" s="3">
        <v>0.46589999999999998</v>
      </c>
      <c r="O13" s="5">
        <v>575</v>
      </c>
      <c r="P13" s="3">
        <v>0.88329999999999997</v>
      </c>
      <c r="Q13" s="5">
        <v>0</v>
      </c>
      <c r="R13" s="3">
        <v>0</v>
      </c>
      <c r="S13" s="5">
        <v>83</v>
      </c>
      <c r="T13" s="3">
        <v>1</v>
      </c>
      <c r="U13" s="5">
        <v>105</v>
      </c>
      <c r="V13" s="3">
        <v>0.58660000000000001</v>
      </c>
    </row>
    <row r="14" spans="1:23" x14ac:dyDescent="0.2">
      <c r="A14" s="7" t="s">
        <v>33</v>
      </c>
      <c r="B14" s="8" t="s">
        <v>37</v>
      </c>
      <c r="C14" s="9" t="s">
        <v>39</v>
      </c>
      <c r="D14" s="3">
        <v>0.64249999999999996</v>
      </c>
      <c r="E14" s="10">
        <v>2</v>
      </c>
      <c r="F14" s="10" t="s">
        <v>24</v>
      </c>
      <c r="G14" s="5">
        <v>23</v>
      </c>
      <c r="H14" s="3">
        <v>0.5897</v>
      </c>
      <c r="I14" s="5">
        <v>0</v>
      </c>
      <c r="J14" s="3">
        <v>0</v>
      </c>
      <c r="K14" s="5">
        <v>16.5</v>
      </c>
      <c r="L14" s="3">
        <v>0.47139999999999999</v>
      </c>
      <c r="M14" s="5">
        <v>53</v>
      </c>
      <c r="N14" s="3">
        <v>0.24199999999999999</v>
      </c>
      <c r="O14" s="5">
        <v>1167</v>
      </c>
      <c r="P14" s="3">
        <v>2</v>
      </c>
      <c r="Q14" s="5">
        <v>0</v>
      </c>
      <c r="R14" s="3">
        <v>0</v>
      </c>
      <c r="S14" s="5">
        <v>84</v>
      </c>
      <c r="T14" s="3">
        <v>1.0909</v>
      </c>
      <c r="U14" s="5">
        <v>1133</v>
      </c>
      <c r="V14" s="3">
        <v>1</v>
      </c>
    </row>
    <row r="15" spans="1:23" x14ac:dyDescent="0.2">
      <c r="A15" s="7" t="s">
        <v>33</v>
      </c>
      <c r="B15" s="8" t="s">
        <v>40</v>
      </c>
      <c r="C15" s="9" t="s">
        <v>41</v>
      </c>
      <c r="D15" s="3">
        <v>0.40629999999999999</v>
      </c>
      <c r="E15" s="10">
        <v>14</v>
      </c>
      <c r="F15" s="10" t="s">
        <v>26</v>
      </c>
      <c r="G15" s="5">
        <v>12</v>
      </c>
      <c r="H15" s="3">
        <v>0.36359999999999998</v>
      </c>
      <c r="I15" s="5">
        <v>0</v>
      </c>
      <c r="J15" s="3">
        <v>0</v>
      </c>
      <c r="K15" s="5">
        <v>13</v>
      </c>
      <c r="L15" s="3">
        <v>0.4194</v>
      </c>
      <c r="M15" s="5">
        <v>91</v>
      </c>
      <c r="N15" s="3">
        <v>0.47639999999999999</v>
      </c>
      <c r="O15" s="5">
        <v>233</v>
      </c>
      <c r="P15" s="3">
        <v>0.50870000000000004</v>
      </c>
      <c r="Q15" s="5">
        <v>0</v>
      </c>
      <c r="R15" s="3">
        <v>0</v>
      </c>
      <c r="S15" s="5">
        <v>77</v>
      </c>
      <c r="T15" s="3">
        <v>1.1493</v>
      </c>
      <c r="U15" s="5">
        <v>2046</v>
      </c>
      <c r="V15" s="3">
        <v>1</v>
      </c>
    </row>
    <row r="16" spans="1:23" x14ac:dyDescent="0.2">
      <c r="A16" s="7" t="s">
        <v>33</v>
      </c>
      <c r="B16" s="8" t="s">
        <v>40</v>
      </c>
      <c r="C16" s="9" t="s">
        <v>42</v>
      </c>
      <c r="D16" s="3">
        <v>0.62680000000000002</v>
      </c>
      <c r="E16" s="10">
        <v>3</v>
      </c>
      <c r="F16" s="10" t="s">
        <v>24</v>
      </c>
      <c r="G16" s="5">
        <v>14</v>
      </c>
      <c r="H16" s="3">
        <v>0.38890000000000002</v>
      </c>
      <c r="I16" s="5">
        <v>0</v>
      </c>
      <c r="J16" s="3">
        <v>0</v>
      </c>
      <c r="K16" s="5">
        <v>18</v>
      </c>
      <c r="L16" s="3">
        <v>0.51429999999999998</v>
      </c>
      <c r="M16" s="5">
        <v>73.5</v>
      </c>
      <c r="N16" s="3">
        <v>0.34029999999999999</v>
      </c>
      <c r="O16" s="5">
        <v>760</v>
      </c>
      <c r="P16" s="3">
        <v>1.3817999999999999</v>
      </c>
      <c r="Q16" s="5">
        <v>0</v>
      </c>
      <c r="R16" s="3">
        <v>0</v>
      </c>
      <c r="S16" s="5">
        <v>177</v>
      </c>
      <c r="T16" s="3">
        <v>2</v>
      </c>
      <c r="U16" s="5">
        <v>470</v>
      </c>
      <c r="V16" s="3">
        <v>1</v>
      </c>
    </row>
    <row r="17" spans="1:22" x14ac:dyDescent="0.2">
      <c r="A17" s="7" t="s">
        <v>33</v>
      </c>
      <c r="B17" s="8" t="s">
        <v>43</v>
      </c>
      <c r="C17" s="9" t="s">
        <v>44</v>
      </c>
      <c r="D17" s="3">
        <v>0.58989999999999998</v>
      </c>
      <c r="E17" s="10">
        <v>5</v>
      </c>
      <c r="F17" s="10" t="s">
        <v>24</v>
      </c>
      <c r="G17" s="5">
        <v>14</v>
      </c>
      <c r="H17" s="3">
        <v>0.4118</v>
      </c>
      <c r="I17" s="5">
        <v>0</v>
      </c>
      <c r="J17" s="3">
        <v>0</v>
      </c>
      <c r="K17" s="5">
        <v>11.5</v>
      </c>
      <c r="L17" s="3">
        <v>0.39660000000000001</v>
      </c>
      <c r="M17" s="5">
        <v>212</v>
      </c>
      <c r="N17" s="3">
        <v>1</v>
      </c>
      <c r="O17" s="5">
        <v>397</v>
      </c>
      <c r="P17" s="3">
        <v>0.97540000000000004</v>
      </c>
      <c r="Q17" s="5">
        <v>0</v>
      </c>
      <c r="R17" s="3">
        <v>0</v>
      </c>
      <c r="S17" s="5">
        <v>130</v>
      </c>
      <c r="T17" s="3">
        <v>2</v>
      </c>
      <c r="U17" s="5">
        <v>55</v>
      </c>
      <c r="V17" s="3">
        <v>0.44719999999999999</v>
      </c>
    </row>
    <row r="18" spans="1:22" x14ac:dyDescent="0.2">
      <c r="A18" s="7" t="s">
        <v>33</v>
      </c>
      <c r="B18" s="8" t="s">
        <v>43</v>
      </c>
      <c r="C18" s="9" t="s">
        <v>45</v>
      </c>
      <c r="D18" s="3">
        <v>0.45910000000000001</v>
      </c>
      <c r="E18" s="10">
        <v>12</v>
      </c>
      <c r="F18" s="10" t="s">
        <v>26</v>
      </c>
      <c r="G18" s="5">
        <v>6</v>
      </c>
      <c r="H18" s="3">
        <v>0.54549999999999998</v>
      </c>
      <c r="I18" s="5">
        <v>0</v>
      </c>
      <c r="J18" s="3">
        <v>0</v>
      </c>
      <c r="K18" s="5">
        <v>3</v>
      </c>
      <c r="L18" s="3">
        <v>0.3</v>
      </c>
      <c r="M18" s="5">
        <v>79</v>
      </c>
      <c r="N18" s="3">
        <v>1</v>
      </c>
      <c r="O18" s="5">
        <v>65</v>
      </c>
      <c r="P18" s="3">
        <v>0.4577</v>
      </c>
      <c r="Q18" s="5">
        <v>0</v>
      </c>
      <c r="R18" s="3">
        <v>0</v>
      </c>
      <c r="S18" s="5">
        <v>25</v>
      </c>
      <c r="T18" s="3">
        <v>1.1364000000000001</v>
      </c>
      <c r="U18" s="5">
        <v>45</v>
      </c>
      <c r="V18" s="3">
        <v>1</v>
      </c>
    </row>
    <row r="19" spans="1:22" x14ac:dyDescent="0.2">
      <c r="A19" s="7" t="s">
        <v>20</v>
      </c>
      <c r="B19" s="8" t="s">
        <v>20</v>
      </c>
      <c r="C19" s="9" t="s">
        <v>46</v>
      </c>
      <c r="D19" s="3" t="s">
        <v>20</v>
      </c>
      <c r="E19" s="10" t="s">
        <v>20</v>
      </c>
      <c r="F19" s="10" t="s">
        <v>20</v>
      </c>
      <c r="G19" s="5">
        <v>3</v>
      </c>
      <c r="H19" s="3" t="s">
        <v>20</v>
      </c>
      <c r="I19" s="5">
        <v>0</v>
      </c>
      <c r="J19" s="3" t="s">
        <v>20</v>
      </c>
      <c r="K19" s="5">
        <v>0.5</v>
      </c>
      <c r="L19" s="3" t="s">
        <v>20</v>
      </c>
      <c r="M19" s="5">
        <v>74.5</v>
      </c>
      <c r="N19" s="3" t="s">
        <v>20</v>
      </c>
      <c r="O19" s="5">
        <v>0</v>
      </c>
      <c r="P19" s="3" t="s">
        <v>20</v>
      </c>
      <c r="Q19" s="5">
        <v>0</v>
      </c>
      <c r="R19" s="3" t="s">
        <v>20</v>
      </c>
      <c r="S19" s="5">
        <v>0</v>
      </c>
      <c r="T19" s="3" t="s">
        <v>20</v>
      </c>
      <c r="U19" s="5">
        <v>0</v>
      </c>
      <c r="V19" s="3" t="s">
        <v>20</v>
      </c>
    </row>
    <row r="20" spans="1:22" ht="14.25" customHeight="1" x14ac:dyDescent="0.2">
      <c r="A20" s="7" t="s">
        <v>47</v>
      </c>
      <c r="B20" s="8" t="s">
        <v>47</v>
      </c>
      <c r="C20" s="9" t="s">
        <v>47</v>
      </c>
      <c r="D20" s="3">
        <v>0.62919999999999998</v>
      </c>
      <c r="E20" s="10" t="s">
        <v>20</v>
      </c>
      <c r="F20" s="10" t="s">
        <v>20</v>
      </c>
      <c r="G20" s="5">
        <v>308</v>
      </c>
      <c r="H20" s="3">
        <v>0.45490000000000003</v>
      </c>
      <c r="I20" s="5">
        <v>0</v>
      </c>
      <c r="J20" s="3">
        <v>0</v>
      </c>
      <c r="K20" s="5">
        <v>263</v>
      </c>
      <c r="L20" s="3">
        <v>0.40460000000000002</v>
      </c>
      <c r="M20" s="5">
        <v>2306</v>
      </c>
      <c r="N20" s="3">
        <v>0.57650000000000001</v>
      </c>
      <c r="O20" s="5">
        <v>17175</v>
      </c>
      <c r="P20" s="3">
        <v>1.7175</v>
      </c>
      <c r="Q20" s="5">
        <v>0</v>
      </c>
      <c r="R20" s="3">
        <v>0</v>
      </c>
      <c r="S20" s="5">
        <v>1890</v>
      </c>
      <c r="T20" s="3">
        <v>1.35</v>
      </c>
      <c r="U20" s="5">
        <v>10144</v>
      </c>
      <c r="V20" s="3">
        <v>1</v>
      </c>
    </row>
  </sheetData>
  <mergeCells count="17">
    <mergeCell ref="C2:C3"/>
    <mergeCell ref="A1:V1"/>
    <mergeCell ref="D2:F2"/>
    <mergeCell ref="G2:N2"/>
    <mergeCell ref="O2:V2"/>
    <mergeCell ref="A2:A3"/>
    <mergeCell ref="B2:B3"/>
    <mergeCell ref="A4:C4"/>
    <mergeCell ref="D4:F4"/>
    <mergeCell ref="G4:H4"/>
    <mergeCell ref="I4:J4"/>
    <mergeCell ref="K4:L4"/>
    <mergeCell ref="M4:N4"/>
    <mergeCell ref="O4:P4"/>
    <mergeCell ref="Q4:R4"/>
    <mergeCell ref="S4:T4"/>
    <mergeCell ref="U4:V4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7A95-35F7-49AD-9AD5-77114B8C0CD9}">
  <dimension ref="A1:W20"/>
  <sheetViews>
    <sheetView zoomScale="160" zoomScaleNormal="160" workbookViewId="0">
      <selection sqref="A1:W20"/>
    </sheetView>
  </sheetViews>
  <sheetFormatPr defaultRowHeight="14.25" x14ac:dyDescent="0.2"/>
  <cols>
    <col min="20" max="22" width="9" style="1"/>
  </cols>
  <sheetData>
    <row r="1" spans="1:23" ht="22.5" x14ac:dyDescent="0.2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6"/>
    </row>
    <row r="2" spans="1:23" x14ac:dyDescent="0.2">
      <c r="A2" s="13" t="s">
        <v>1</v>
      </c>
      <c r="B2" s="13" t="s">
        <v>2</v>
      </c>
      <c r="C2" s="13" t="s">
        <v>3</v>
      </c>
      <c r="D2" s="13" t="s">
        <v>4</v>
      </c>
      <c r="E2" s="13"/>
      <c r="F2" s="13"/>
      <c r="G2" s="13" t="s">
        <v>5</v>
      </c>
      <c r="H2" s="13"/>
      <c r="I2" s="13"/>
      <c r="J2" s="13"/>
      <c r="K2" s="13"/>
      <c r="L2" s="13"/>
      <c r="M2" s="13"/>
      <c r="N2" s="13"/>
      <c r="O2" s="13" t="s">
        <v>6</v>
      </c>
      <c r="P2" s="13"/>
      <c r="Q2" s="13"/>
      <c r="R2" s="13"/>
      <c r="S2" s="13"/>
      <c r="T2" s="13"/>
      <c r="U2" s="13"/>
      <c r="V2" s="13"/>
    </row>
    <row r="3" spans="1:23" ht="28.5" x14ac:dyDescent="0.2">
      <c r="A3" s="13"/>
      <c r="B3" s="13"/>
      <c r="C3" s="13"/>
      <c r="D3" s="11" t="s">
        <v>7</v>
      </c>
      <c r="E3" s="11" t="s">
        <v>8</v>
      </c>
      <c r="F3" s="11" t="s">
        <v>9</v>
      </c>
      <c r="G3" s="11" t="s">
        <v>10</v>
      </c>
      <c r="H3" s="11" t="s">
        <v>7</v>
      </c>
      <c r="I3" s="11" t="s">
        <v>11</v>
      </c>
      <c r="J3" s="11" t="s">
        <v>7</v>
      </c>
      <c r="K3" s="11" t="s">
        <v>12</v>
      </c>
      <c r="L3" s="11" t="s">
        <v>7</v>
      </c>
      <c r="M3" s="11" t="s">
        <v>13</v>
      </c>
      <c r="N3" s="11" t="s">
        <v>7</v>
      </c>
      <c r="O3" s="11" t="s">
        <v>14</v>
      </c>
      <c r="P3" s="11" t="s">
        <v>7</v>
      </c>
      <c r="Q3" s="11" t="s">
        <v>15</v>
      </c>
      <c r="R3" s="11" t="s">
        <v>7</v>
      </c>
      <c r="S3" s="11" t="s">
        <v>16</v>
      </c>
      <c r="T3" s="11" t="s">
        <v>7</v>
      </c>
      <c r="U3" s="11" t="s">
        <v>17</v>
      </c>
      <c r="V3" s="11" t="s">
        <v>7</v>
      </c>
    </row>
    <row r="4" spans="1:23" x14ac:dyDescent="0.2">
      <c r="A4" s="13" t="s">
        <v>18</v>
      </c>
      <c r="B4" s="13"/>
      <c r="C4" s="13"/>
      <c r="D4" s="14">
        <v>1</v>
      </c>
      <c r="E4" s="13"/>
      <c r="F4" s="13"/>
      <c r="G4" s="12">
        <v>0.15</v>
      </c>
      <c r="H4" s="12"/>
      <c r="I4" s="12">
        <v>0.15</v>
      </c>
      <c r="J4" s="12"/>
      <c r="K4" s="12">
        <v>0.15</v>
      </c>
      <c r="L4" s="12"/>
      <c r="M4" s="12">
        <v>0.1</v>
      </c>
      <c r="N4" s="12"/>
      <c r="O4" s="12">
        <v>0.15</v>
      </c>
      <c r="P4" s="12"/>
      <c r="Q4" s="12">
        <v>0.15</v>
      </c>
      <c r="R4" s="12"/>
      <c r="S4" s="12">
        <v>0.1</v>
      </c>
      <c r="T4" s="12"/>
      <c r="U4" s="12">
        <v>0.05</v>
      </c>
      <c r="V4" s="12"/>
    </row>
    <row r="5" spans="1:23" ht="12.75" customHeight="1" x14ac:dyDescent="0.2">
      <c r="A5" s="7" t="s">
        <v>21</v>
      </c>
      <c r="B5" s="8" t="s">
        <v>22</v>
      </c>
      <c r="C5" s="9" t="s">
        <v>23</v>
      </c>
      <c r="D5" s="3">
        <v>0.84130000000000005</v>
      </c>
      <c r="E5" s="10">
        <v>4</v>
      </c>
      <c r="F5" s="10" t="s">
        <v>24</v>
      </c>
      <c r="G5" s="5">
        <v>1454</v>
      </c>
      <c r="H5" s="3">
        <v>0.73660000000000003</v>
      </c>
      <c r="I5" s="5">
        <v>1222</v>
      </c>
      <c r="J5" s="3">
        <v>1.2930999999999999</v>
      </c>
      <c r="K5" s="5">
        <v>1235</v>
      </c>
      <c r="L5" s="3">
        <v>0.62560000000000004</v>
      </c>
      <c r="M5" s="5">
        <v>8382.5</v>
      </c>
      <c r="N5" s="3">
        <v>0.69299999999999995</v>
      </c>
      <c r="O5" s="5">
        <v>22540</v>
      </c>
      <c r="P5" s="3">
        <v>0.71889999999999998</v>
      </c>
      <c r="Q5" s="5">
        <v>15087</v>
      </c>
      <c r="R5" s="3">
        <v>0.78600000000000003</v>
      </c>
      <c r="S5" s="5">
        <v>4196</v>
      </c>
      <c r="T5" s="3">
        <v>0.97950000000000004</v>
      </c>
      <c r="U5" s="5">
        <v>7060</v>
      </c>
      <c r="V5" s="3">
        <v>1</v>
      </c>
    </row>
    <row r="6" spans="1:23" x14ac:dyDescent="0.2">
      <c r="A6" s="7" t="s">
        <v>21</v>
      </c>
      <c r="B6" s="8" t="s">
        <v>22</v>
      </c>
      <c r="C6" s="9" t="s">
        <v>25</v>
      </c>
      <c r="D6" s="3">
        <v>0.75760000000000005</v>
      </c>
      <c r="E6" s="10">
        <v>12</v>
      </c>
      <c r="F6" s="10" t="s">
        <v>26</v>
      </c>
      <c r="G6" s="5">
        <v>1345</v>
      </c>
      <c r="H6" s="3">
        <v>0.78110000000000002</v>
      </c>
      <c r="I6" s="5">
        <v>678</v>
      </c>
      <c r="J6" s="3">
        <v>0.82779999999999998</v>
      </c>
      <c r="K6" s="5">
        <v>656.5</v>
      </c>
      <c r="L6" s="3">
        <v>0.40079999999999999</v>
      </c>
      <c r="M6" s="5">
        <v>10161</v>
      </c>
      <c r="N6" s="3">
        <v>0.99760000000000004</v>
      </c>
      <c r="O6" s="5">
        <v>13821</v>
      </c>
      <c r="P6" s="3">
        <v>0.60489999999999999</v>
      </c>
      <c r="Q6" s="5">
        <v>11216</v>
      </c>
      <c r="R6" s="3">
        <v>0.68030000000000002</v>
      </c>
      <c r="S6" s="5">
        <v>4128</v>
      </c>
      <c r="T6" s="3">
        <v>1.1363000000000001</v>
      </c>
      <c r="U6" s="5">
        <v>7170</v>
      </c>
      <c r="V6" s="3">
        <v>1</v>
      </c>
    </row>
    <row r="7" spans="1:23" x14ac:dyDescent="0.2">
      <c r="A7" s="7" t="s">
        <v>21</v>
      </c>
      <c r="B7" s="8" t="s">
        <v>27</v>
      </c>
      <c r="C7" s="9" t="s">
        <v>28</v>
      </c>
      <c r="D7" s="3">
        <v>0.73980000000000001</v>
      </c>
      <c r="E7" s="10">
        <v>13</v>
      </c>
      <c r="F7" s="10" t="s">
        <v>26</v>
      </c>
      <c r="G7" s="5">
        <v>895</v>
      </c>
      <c r="H7" s="3">
        <v>0.69869999999999999</v>
      </c>
      <c r="I7" s="5">
        <v>821</v>
      </c>
      <c r="J7" s="3">
        <v>1.3031999999999999</v>
      </c>
      <c r="K7" s="5">
        <v>459</v>
      </c>
      <c r="L7" s="3">
        <v>0.36430000000000001</v>
      </c>
      <c r="M7" s="5">
        <v>5868</v>
      </c>
      <c r="N7" s="3">
        <v>0.75929999999999997</v>
      </c>
      <c r="O7" s="5">
        <v>8393</v>
      </c>
      <c r="P7" s="3">
        <v>0.4234</v>
      </c>
      <c r="Q7" s="5">
        <v>9219</v>
      </c>
      <c r="R7" s="3">
        <v>0.70279999999999998</v>
      </c>
      <c r="S7" s="5">
        <v>2593</v>
      </c>
      <c r="T7" s="3">
        <v>0.93540000000000001</v>
      </c>
      <c r="U7" s="5">
        <v>4779</v>
      </c>
      <c r="V7" s="3">
        <v>0.92889999999999995</v>
      </c>
    </row>
    <row r="8" spans="1:23" x14ac:dyDescent="0.2">
      <c r="A8" s="7" t="s">
        <v>21</v>
      </c>
      <c r="B8" s="8" t="s">
        <v>27</v>
      </c>
      <c r="C8" s="9" t="s">
        <v>29</v>
      </c>
      <c r="D8" s="3">
        <v>0.8448</v>
      </c>
      <c r="E8" s="10">
        <v>3</v>
      </c>
      <c r="F8" s="10" t="s">
        <v>24</v>
      </c>
      <c r="G8" s="5">
        <v>728</v>
      </c>
      <c r="H8" s="3">
        <v>0.57779999999999998</v>
      </c>
      <c r="I8" s="5">
        <v>1309</v>
      </c>
      <c r="J8" s="3">
        <v>2</v>
      </c>
      <c r="K8" s="5">
        <v>439</v>
      </c>
      <c r="L8" s="3">
        <v>0.38009999999999999</v>
      </c>
      <c r="M8" s="5">
        <v>4078</v>
      </c>
      <c r="N8" s="3">
        <v>0.56779999999999997</v>
      </c>
      <c r="O8" s="5">
        <v>10856</v>
      </c>
      <c r="P8" s="3">
        <v>0.60750000000000004</v>
      </c>
      <c r="Q8" s="5">
        <v>6776</v>
      </c>
      <c r="R8" s="3">
        <v>0.69469999999999998</v>
      </c>
      <c r="S8" s="5">
        <v>3042</v>
      </c>
      <c r="T8" s="3">
        <v>1.1681999999999999</v>
      </c>
      <c r="U8" s="5">
        <v>3271</v>
      </c>
      <c r="V8" s="3">
        <v>0.64359999999999995</v>
      </c>
    </row>
    <row r="9" spans="1:23" x14ac:dyDescent="0.2">
      <c r="A9" s="7" t="s">
        <v>21</v>
      </c>
      <c r="B9" s="8" t="s">
        <v>30</v>
      </c>
      <c r="C9" s="9" t="s">
        <v>31</v>
      </c>
      <c r="D9" s="3">
        <v>0.76</v>
      </c>
      <c r="E9" s="10">
        <v>11</v>
      </c>
      <c r="F9" s="10" t="s">
        <v>26</v>
      </c>
      <c r="G9" s="5">
        <v>456</v>
      </c>
      <c r="H9" s="3">
        <v>0.60319999999999996</v>
      </c>
      <c r="I9" s="5">
        <v>326</v>
      </c>
      <c r="J9" s="3">
        <v>0.91320000000000001</v>
      </c>
      <c r="K9" s="5">
        <v>613</v>
      </c>
      <c r="L9" s="3">
        <v>0.71199999999999997</v>
      </c>
      <c r="M9" s="5">
        <v>3668.5</v>
      </c>
      <c r="N9" s="3">
        <v>0.72189999999999999</v>
      </c>
      <c r="O9" s="5">
        <v>4649</v>
      </c>
      <c r="P9" s="3">
        <v>0.3448</v>
      </c>
      <c r="Q9" s="5">
        <v>11313</v>
      </c>
      <c r="R9" s="3">
        <v>1.1216999999999999</v>
      </c>
      <c r="S9" s="5">
        <v>1720</v>
      </c>
      <c r="T9" s="3">
        <v>0.97509999999999997</v>
      </c>
      <c r="U9" s="5">
        <v>2330</v>
      </c>
      <c r="V9" s="3">
        <v>0.72050000000000003</v>
      </c>
    </row>
    <row r="10" spans="1:23" x14ac:dyDescent="0.2">
      <c r="A10" s="7" t="s">
        <v>21</v>
      </c>
      <c r="B10" s="8" t="s">
        <v>30</v>
      </c>
      <c r="C10" s="9" t="s">
        <v>32</v>
      </c>
      <c r="D10" s="3">
        <v>0.88739999999999997</v>
      </c>
      <c r="E10" s="10">
        <v>1</v>
      </c>
      <c r="F10" s="10" t="s">
        <v>24</v>
      </c>
      <c r="G10" s="5">
        <v>512</v>
      </c>
      <c r="H10" s="3">
        <v>0.78649999999999998</v>
      </c>
      <c r="I10" s="5">
        <v>558</v>
      </c>
      <c r="J10" s="3">
        <v>1.8979999999999999</v>
      </c>
      <c r="K10" s="5">
        <v>422</v>
      </c>
      <c r="L10" s="3">
        <v>0.6482</v>
      </c>
      <c r="M10" s="5">
        <v>3005.5</v>
      </c>
      <c r="N10" s="3">
        <v>0.74539999999999995</v>
      </c>
      <c r="O10" s="5">
        <v>1898</v>
      </c>
      <c r="P10" s="3">
        <v>0.2054</v>
      </c>
      <c r="Q10" s="5">
        <v>8398</v>
      </c>
      <c r="R10" s="3">
        <v>0.98350000000000004</v>
      </c>
      <c r="S10" s="5">
        <v>1326</v>
      </c>
      <c r="T10" s="3">
        <v>0.97140000000000004</v>
      </c>
      <c r="U10" s="5">
        <v>1841</v>
      </c>
      <c r="V10" s="3">
        <v>0.74929999999999997</v>
      </c>
    </row>
    <row r="11" spans="1:23" x14ac:dyDescent="0.2">
      <c r="A11" s="7" t="s">
        <v>33</v>
      </c>
      <c r="B11" s="8" t="s">
        <v>34</v>
      </c>
      <c r="C11" s="9" t="s">
        <v>35</v>
      </c>
      <c r="D11" s="3">
        <v>0.76470000000000005</v>
      </c>
      <c r="E11" s="10">
        <v>9</v>
      </c>
      <c r="F11" s="10" t="s">
        <v>26</v>
      </c>
      <c r="G11" s="5">
        <v>561</v>
      </c>
      <c r="H11" s="3">
        <v>0.46060000000000001</v>
      </c>
      <c r="I11" s="5">
        <v>800</v>
      </c>
      <c r="J11" s="3">
        <v>1.5238</v>
      </c>
      <c r="K11" s="5">
        <v>387</v>
      </c>
      <c r="L11" s="3">
        <v>0.31769999999999998</v>
      </c>
      <c r="M11" s="5">
        <v>6080</v>
      </c>
      <c r="N11" s="3">
        <v>0.82020000000000004</v>
      </c>
      <c r="O11" s="5">
        <v>19330</v>
      </c>
      <c r="P11" s="3">
        <v>0.96279999999999999</v>
      </c>
      <c r="Q11" s="5">
        <v>9181</v>
      </c>
      <c r="R11" s="3">
        <v>0.46510000000000001</v>
      </c>
      <c r="S11" s="5">
        <v>2318</v>
      </c>
      <c r="T11" s="3">
        <v>0.91220000000000001</v>
      </c>
      <c r="U11" s="5">
        <v>3328</v>
      </c>
      <c r="V11" s="3">
        <v>0.63900000000000001</v>
      </c>
    </row>
    <row r="12" spans="1:23" x14ac:dyDescent="0.2">
      <c r="A12" s="7" t="s">
        <v>33</v>
      </c>
      <c r="B12" s="8" t="s">
        <v>34</v>
      </c>
      <c r="C12" s="9" t="s">
        <v>36</v>
      </c>
      <c r="D12" s="3">
        <v>0.76680000000000004</v>
      </c>
      <c r="E12" s="10">
        <v>8</v>
      </c>
      <c r="F12" s="10" t="s">
        <v>24</v>
      </c>
      <c r="G12" s="5">
        <v>593</v>
      </c>
      <c r="H12" s="3">
        <v>0.50429999999999997</v>
      </c>
      <c r="I12" s="5">
        <v>614</v>
      </c>
      <c r="J12" s="3">
        <v>1.329</v>
      </c>
      <c r="K12" s="5">
        <v>338.5</v>
      </c>
      <c r="L12" s="3">
        <v>0.30409999999999998</v>
      </c>
      <c r="M12" s="5">
        <v>4726.5</v>
      </c>
      <c r="N12" s="3">
        <v>0.68830000000000002</v>
      </c>
      <c r="O12" s="5">
        <v>17255</v>
      </c>
      <c r="P12" s="3">
        <v>0.93269999999999997</v>
      </c>
      <c r="Q12" s="5">
        <v>9620</v>
      </c>
      <c r="R12" s="3">
        <v>0.70279999999999998</v>
      </c>
      <c r="S12" s="5">
        <v>2433</v>
      </c>
      <c r="T12" s="3">
        <v>1.0438000000000001</v>
      </c>
      <c r="U12" s="5">
        <v>2477</v>
      </c>
      <c r="V12" s="3">
        <v>0.55379999999999996</v>
      </c>
    </row>
    <row r="13" spans="1:23" x14ac:dyDescent="0.2">
      <c r="A13" s="7" t="s">
        <v>33</v>
      </c>
      <c r="B13" s="8" t="s">
        <v>37</v>
      </c>
      <c r="C13" s="9" t="s">
        <v>38</v>
      </c>
      <c r="D13" s="3">
        <v>0.68879999999999997</v>
      </c>
      <c r="E13" s="10">
        <v>14</v>
      </c>
      <c r="F13" s="10" t="s">
        <v>26</v>
      </c>
      <c r="G13" s="5">
        <v>631</v>
      </c>
      <c r="H13" s="3">
        <v>0.6532</v>
      </c>
      <c r="I13" s="5">
        <v>367</v>
      </c>
      <c r="J13" s="3">
        <v>1.028</v>
      </c>
      <c r="K13" s="5">
        <v>311</v>
      </c>
      <c r="L13" s="3">
        <v>0.37019999999999997</v>
      </c>
      <c r="M13" s="5">
        <v>2581</v>
      </c>
      <c r="N13" s="3">
        <v>0.49359999999999998</v>
      </c>
      <c r="O13" s="5">
        <v>14613</v>
      </c>
      <c r="P13" s="3">
        <v>1.0689</v>
      </c>
      <c r="Q13" s="5">
        <v>2951</v>
      </c>
      <c r="R13" s="3">
        <v>0.36630000000000001</v>
      </c>
      <c r="S13" s="5">
        <v>1475</v>
      </c>
      <c r="T13" s="3">
        <v>0.84619999999999995</v>
      </c>
      <c r="U13" s="5">
        <v>2392</v>
      </c>
      <c r="V13" s="3">
        <v>0.63629999999999998</v>
      </c>
    </row>
    <row r="14" spans="1:23" x14ac:dyDescent="0.2">
      <c r="A14" s="7" t="s">
        <v>33</v>
      </c>
      <c r="B14" s="8" t="s">
        <v>37</v>
      </c>
      <c r="C14" s="9" t="s">
        <v>39</v>
      </c>
      <c r="D14" s="3">
        <v>0.76910000000000001</v>
      </c>
      <c r="E14" s="10">
        <v>7</v>
      </c>
      <c r="F14" s="10" t="s">
        <v>24</v>
      </c>
      <c r="G14" s="5">
        <v>571</v>
      </c>
      <c r="H14" s="3">
        <v>0.69720000000000004</v>
      </c>
      <c r="I14" s="5">
        <v>428</v>
      </c>
      <c r="J14" s="3">
        <v>1.2738</v>
      </c>
      <c r="K14" s="5">
        <v>350</v>
      </c>
      <c r="L14" s="3">
        <v>0.47620000000000001</v>
      </c>
      <c r="M14" s="5">
        <v>3027.5</v>
      </c>
      <c r="N14" s="3">
        <v>0.6583</v>
      </c>
      <c r="O14" s="5">
        <v>8555</v>
      </c>
      <c r="P14" s="3">
        <v>0.81969999999999998</v>
      </c>
      <c r="Q14" s="5">
        <v>3964</v>
      </c>
      <c r="R14" s="3">
        <v>0.50639999999999996</v>
      </c>
      <c r="S14" s="5">
        <v>1412</v>
      </c>
      <c r="T14" s="3">
        <v>0.87319999999999998</v>
      </c>
      <c r="U14" s="5">
        <v>2651</v>
      </c>
      <c r="V14" s="3">
        <v>1</v>
      </c>
    </row>
    <row r="15" spans="1:23" x14ac:dyDescent="0.2">
      <c r="A15" s="7" t="s">
        <v>33</v>
      </c>
      <c r="B15" s="8" t="s">
        <v>40</v>
      </c>
      <c r="C15" s="9" t="s">
        <v>41</v>
      </c>
      <c r="D15" s="3">
        <v>0.76280000000000003</v>
      </c>
      <c r="E15" s="10">
        <v>10</v>
      </c>
      <c r="F15" s="10" t="s">
        <v>26</v>
      </c>
      <c r="G15" s="5">
        <v>409</v>
      </c>
      <c r="H15" s="3">
        <v>0.59019999999999995</v>
      </c>
      <c r="I15" s="5">
        <v>435</v>
      </c>
      <c r="J15" s="3">
        <v>1.5933999999999999</v>
      </c>
      <c r="K15" s="5">
        <v>279</v>
      </c>
      <c r="L15" s="3">
        <v>0.42859999999999998</v>
      </c>
      <c r="M15" s="5">
        <v>2206</v>
      </c>
      <c r="N15" s="3">
        <v>0.55000000000000004</v>
      </c>
      <c r="O15" s="5">
        <v>5651</v>
      </c>
      <c r="P15" s="3">
        <v>0.58750000000000002</v>
      </c>
      <c r="Q15" s="5">
        <v>2740</v>
      </c>
      <c r="R15" s="3">
        <v>0.44669999999999999</v>
      </c>
      <c r="S15" s="5">
        <v>1559</v>
      </c>
      <c r="T15" s="3">
        <v>1.1080000000000001</v>
      </c>
      <c r="U15" s="5">
        <v>4241</v>
      </c>
      <c r="V15" s="3">
        <v>1</v>
      </c>
    </row>
    <row r="16" spans="1:23" x14ac:dyDescent="0.2">
      <c r="A16" s="7" t="s">
        <v>33</v>
      </c>
      <c r="B16" s="8" t="s">
        <v>40</v>
      </c>
      <c r="C16" s="9" t="s">
        <v>42</v>
      </c>
      <c r="D16" s="3">
        <v>0.81440000000000001</v>
      </c>
      <c r="E16" s="10">
        <v>5</v>
      </c>
      <c r="F16" s="10" t="s">
        <v>24</v>
      </c>
      <c r="G16" s="5">
        <v>393</v>
      </c>
      <c r="H16" s="3">
        <v>0.51980000000000004</v>
      </c>
      <c r="I16" s="5">
        <v>587</v>
      </c>
      <c r="J16" s="3">
        <v>1.7470000000000001</v>
      </c>
      <c r="K16" s="5">
        <v>210.5</v>
      </c>
      <c r="L16" s="3">
        <v>0.28639999999999999</v>
      </c>
      <c r="M16" s="5">
        <v>2726.5</v>
      </c>
      <c r="N16" s="3">
        <v>0.60109999999999997</v>
      </c>
      <c r="O16" s="5">
        <v>11974</v>
      </c>
      <c r="P16" s="3">
        <v>1.0367</v>
      </c>
      <c r="Q16" s="5">
        <v>4590</v>
      </c>
      <c r="R16" s="3">
        <v>0.54059999999999997</v>
      </c>
      <c r="S16" s="5">
        <v>1523</v>
      </c>
      <c r="T16" s="3">
        <v>0.98009999999999997</v>
      </c>
      <c r="U16" s="5">
        <v>1774</v>
      </c>
      <c r="V16" s="3">
        <v>0.73460000000000003</v>
      </c>
    </row>
    <row r="17" spans="1:22" x14ac:dyDescent="0.2">
      <c r="A17" s="7" t="s">
        <v>33</v>
      </c>
      <c r="B17" s="8" t="s">
        <v>43</v>
      </c>
      <c r="C17" s="9" t="s">
        <v>44</v>
      </c>
      <c r="D17" s="3">
        <v>0.86829999999999996</v>
      </c>
      <c r="E17" s="10">
        <v>2</v>
      </c>
      <c r="F17" s="10" t="s">
        <v>24</v>
      </c>
      <c r="G17" s="5">
        <v>404</v>
      </c>
      <c r="H17" s="3">
        <v>0.56579999999999997</v>
      </c>
      <c r="I17" s="5">
        <v>555</v>
      </c>
      <c r="J17" s="3">
        <v>1.8877999999999999</v>
      </c>
      <c r="K17" s="5">
        <v>283.5</v>
      </c>
      <c r="L17" s="3">
        <v>0.46550000000000002</v>
      </c>
      <c r="M17" s="5">
        <v>2085</v>
      </c>
      <c r="N17" s="3">
        <v>0.55779999999999996</v>
      </c>
      <c r="O17" s="5">
        <v>8279</v>
      </c>
      <c r="P17" s="3">
        <v>0.96860000000000002</v>
      </c>
      <c r="Q17" s="5">
        <v>3565</v>
      </c>
      <c r="R17" s="3">
        <v>0.73509999999999998</v>
      </c>
      <c r="S17" s="5">
        <v>1273</v>
      </c>
      <c r="T17" s="3">
        <v>0.94720000000000004</v>
      </c>
      <c r="U17" s="5">
        <v>1260</v>
      </c>
      <c r="V17" s="3">
        <v>0.48780000000000001</v>
      </c>
    </row>
    <row r="18" spans="1:22" x14ac:dyDescent="0.2">
      <c r="A18" s="7" t="s">
        <v>33</v>
      </c>
      <c r="B18" s="8" t="s">
        <v>43</v>
      </c>
      <c r="C18" s="9" t="s">
        <v>45</v>
      </c>
      <c r="D18" s="3">
        <v>0.78800000000000003</v>
      </c>
      <c r="E18" s="10">
        <v>6</v>
      </c>
      <c r="F18" s="10" t="s">
        <v>26</v>
      </c>
      <c r="G18" s="5">
        <v>125</v>
      </c>
      <c r="H18" s="3">
        <v>0.54110000000000003</v>
      </c>
      <c r="I18" s="5">
        <v>106</v>
      </c>
      <c r="J18" s="3">
        <v>1.0095000000000001</v>
      </c>
      <c r="K18" s="5">
        <v>75</v>
      </c>
      <c r="L18" s="3">
        <v>0.35709999999999997</v>
      </c>
      <c r="M18" s="5">
        <v>967.5</v>
      </c>
      <c r="N18" s="3">
        <v>0.74309999999999998</v>
      </c>
      <c r="O18" s="5">
        <v>3804</v>
      </c>
      <c r="P18" s="3">
        <v>1.2757000000000001</v>
      </c>
      <c r="Q18" s="5">
        <v>1194</v>
      </c>
      <c r="R18" s="3">
        <v>0.64119999999999999</v>
      </c>
      <c r="S18" s="5">
        <v>416</v>
      </c>
      <c r="T18" s="3">
        <v>0.90039999999999998</v>
      </c>
      <c r="U18" s="5">
        <v>1036</v>
      </c>
      <c r="V18" s="3">
        <v>1</v>
      </c>
    </row>
    <row r="19" spans="1:22" x14ac:dyDescent="0.2">
      <c r="A19" s="7" t="s">
        <v>20</v>
      </c>
      <c r="B19" s="8" t="s">
        <v>20</v>
      </c>
      <c r="C19" s="9" t="s">
        <v>46</v>
      </c>
      <c r="D19" s="3" t="s">
        <v>20</v>
      </c>
      <c r="E19" s="10" t="s">
        <v>20</v>
      </c>
      <c r="F19" s="10" t="s">
        <v>20</v>
      </c>
      <c r="G19" s="5">
        <v>52</v>
      </c>
      <c r="H19" s="3" t="s">
        <v>20</v>
      </c>
      <c r="I19" s="5">
        <v>0</v>
      </c>
      <c r="J19" s="3" t="s">
        <v>20</v>
      </c>
      <c r="K19" s="5">
        <v>0.5</v>
      </c>
      <c r="L19" s="3" t="s">
        <v>20</v>
      </c>
      <c r="M19" s="5">
        <v>2096.5</v>
      </c>
      <c r="N19" s="3" t="s">
        <v>20</v>
      </c>
      <c r="O19" s="5">
        <v>0</v>
      </c>
      <c r="P19" s="3" t="s">
        <v>20</v>
      </c>
      <c r="Q19" s="5">
        <v>160</v>
      </c>
      <c r="R19" s="3" t="s">
        <v>20</v>
      </c>
      <c r="S19" s="5">
        <v>0</v>
      </c>
      <c r="T19" s="3" t="s">
        <v>20</v>
      </c>
      <c r="U19" s="5">
        <v>0</v>
      </c>
      <c r="V19" s="3" t="s">
        <v>20</v>
      </c>
    </row>
    <row r="20" spans="1:22" ht="14.25" customHeight="1" x14ac:dyDescent="0.2">
      <c r="A20" s="7" t="s">
        <v>47</v>
      </c>
      <c r="B20" s="8" t="s">
        <v>47</v>
      </c>
      <c r="C20" s="9" t="s">
        <v>47</v>
      </c>
      <c r="D20" s="3">
        <v>0.79920000000000002</v>
      </c>
      <c r="E20" s="10" t="s">
        <v>20</v>
      </c>
      <c r="F20" s="10" t="s">
        <v>20</v>
      </c>
      <c r="G20" s="5">
        <v>9129</v>
      </c>
      <c r="H20" s="3">
        <v>0.6421</v>
      </c>
      <c r="I20" s="5">
        <v>8806</v>
      </c>
      <c r="J20" s="3">
        <v>1.3977999999999999</v>
      </c>
      <c r="K20" s="5">
        <v>6059.5</v>
      </c>
      <c r="L20" s="3">
        <v>0.44390000000000002</v>
      </c>
      <c r="M20" s="5">
        <v>61661</v>
      </c>
      <c r="N20" s="3">
        <v>0.73409999999999997</v>
      </c>
      <c r="O20" s="5">
        <v>151618</v>
      </c>
      <c r="P20" s="3">
        <v>0.72199999999999998</v>
      </c>
      <c r="Q20" s="5">
        <v>99974</v>
      </c>
      <c r="R20" s="3">
        <v>0.67630000000000001</v>
      </c>
      <c r="S20" s="5">
        <v>29414</v>
      </c>
      <c r="T20" s="3">
        <v>1.0004999999999999</v>
      </c>
      <c r="U20" s="5">
        <v>45610</v>
      </c>
      <c r="V20" s="3">
        <v>0.86880000000000002</v>
      </c>
    </row>
  </sheetData>
  <mergeCells count="17">
    <mergeCell ref="C2:C3"/>
    <mergeCell ref="A1:V1"/>
    <mergeCell ref="D2:F2"/>
    <mergeCell ref="G2:N2"/>
    <mergeCell ref="O2:V2"/>
    <mergeCell ref="A2:A3"/>
    <mergeCell ref="B2:B3"/>
    <mergeCell ref="A4:C4"/>
    <mergeCell ref="D4:F4"/>
    <mergeCell ref="G4:H4"/>
    <mergeCell ref="I4:J4"/>
    <mergeCell ref="K4:L4"/>
    <mergeCell ref="M4:N4"/>
    <mergeCell ref="O4:P4"/>
    <mergeCell ref="Q4:R4"/>
    <mergeCell ref="S4:T4"/>
    <mergeCell ref="U4:V4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7883-8643-4836-A46D-0A5E33981692}">
  <dimension ref="A1:V20"/>
  <sheetViews>
    <sheetView workbookViewId="0">
      <selection activeCell="V20" sqref="V20"/>
    </sheetView>
  </sheetViews>
  <sheetFormatPr defaultRowHeight="14.25" x14ac:dyDescent="0.2"/>
  <sheetData>
    <row r="1" spans="1:22" ht="22.5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x14ac:dyDescent="0.2">
      <c r="A2" s="13" t="s">
        <v>1</v>
      </c>
      <c r="B2" s="13" t="s">
        <v>2</v>
      </c>
      <c r="C2" s="13" t="s">
        <v>3</v>
      </c>
      <c r="D2" s="13" t="s">
        <v>4</v>
      </c>
      <c r="E2" s="13"/>
      <c r="F2" s="13"/>
      <c r="G2" s="13" t="s">
        <v>5</v>
      </c>
      <c r="H2" s="13"/>
      <c r="I2" s="13"/>
      <c r="J2" s="13"/>
      <c r="K2" s="13"/>
      <c r="L2" s="13"/>
      <c r="M2" s="13"/>
      <c r="N2" s="13"/>
      <c r="O2" s="13" t="s">
        <v>6</v>
      </c>
      <c r="P2" s="13"/>
      <c r="Q2" s="13"/>
      <c r="R2" s="13"/>
      <c r="S2" s="13"/>
      <c r="T2" s="13"/>
      <c r="U2" s="13"/>
      <c r="V2" s="13"/>
    </row>
    <row r="3" spans="1:22" ht="28.5" x14ac:dyDescent="0.2">
      <c r="A3" s="13"/>
      <c r="B3" s="13"/>
      <c r="C3" s="13"/>
      <c r="D3" s="4" t="s">
        <v>7</v>
      </c>
      <c r="E3" s="4" t="s">
        <v>8</v>
      </c>
      <c r="F3" s="4" t="s">
        <v>9</v>
      </c>
      <c r="G3" s="4" t="s">
        <v>10</v>
      </c>
      <c r="H3" s="4" t="s">
        <v>7</v>
      </c>
      <c r="I3" s="4" t="s">
        <v>11</v>
      </c>
      <c r="J3" s="4" t="s">
        <v>7</v>
      </c>
      <c r="K3" s="4" t="s">
        <v>12</v>
      </c>
      <c r="L3" s="4" t="s">
        <v>7</v>
      </c>
      <c r="M3" s="4" t="s">
        <v>13</v>
      </c>
      <c r="N3" s="4" t="s">
        <v>7</v>
      </c>
      <c r="O3" s="4" t="s">
        <v>14</v>
      </c>
      <c r="P3" s="4" t="s">
        <v>7</v>
      </c>
      <c r="Q3" s="4" t="s">
        <v>15</v>
      </c>
      <c r="R3" s="4" t="s">
        <v>7</v>
      </c>
      <c r="S3" s="4" t="s">
        <v>16</v>
      </c>
      <c r="T3" s="4" t="s">
        <v>7</v>
      </c>
      <c r="U3" s="4" t="s">
        <v>17</v>
      </c>
      <c r="V3" s="4" t="s">
        <v>7</v>
      </c>
    </row>
    <row r="4" spans="1:22" x14ac:dyDescent="0.2">
      <c r="A4" s="13" t="s">
        <v>18</v>
      </c>
      <c r="B4" s="13"/>
      <c r="C4" s="13"/>
      <c r="D4" s="14">
        <v>1</v>
      </c>
      <c r="E4" s="13"/>
      <c r="F4" s="13"/>
      <c r="G4" s="12">
        <v>0.15</v>
      </c>
      <c r="H4" s="12"/>
      <c r="I4" s="12">
        <v>0.15</v>
      </c>
      <c r="J4" s="12"/>
      <c r="K4" s="12">
        <v>0.15</v>
      </c>
      <c r="L4" s="12"/>
      <c r="M4" s="12">
        <v>0.1</v>
      </c>
      <c r="N4" s="12"/>
      <c r="O4" s="12">
        <v>0.15</v>
      </c>
      <c r="P4" s="12"/>
      <c r="Q4" s="12">
        <v>0.15</v>
      </c>
      <c r="R4" s="12"/>
      <c r="S4" s="12">
        <v>0.1</v>
      </c>
      <c r="T4" s="12"/>
      <c r="U4" s="12">
        <v>0.05</v>
      </c>
      <c r="V4" s="12"/>
    </row>
    <row r="5" spans="1:22" x14ac:dyDescent="0.2">
      <c r="A5" s="2" t="str">
        <f>日累计通报!A5</f>
        <v>城区</v>
      </c>
      <c r="B5" s="2" t="str">
        <f>日累计通报!B5</f>
        <v>第一组</v>
      </c>
      <c r="C5" s="2" t="str">
        <f>日累计通报!C5</f>
        <v>金水</v>
      </c>
      <c r="D5" s="2">
        <f>日累计通报!D5</f>
        <v>0.84130000000000005</v>
      </c>
      <c r="E5" s="2">
        <f>日累计通报!E5</f>
        <v>4</v>
      </c>
      <c r="F5" s="2" t="str">
        <f>日累计通报!F5</f>
        <v>胜</v>
      </c>
      <c r="G5" s="2">
        <f>日累计通报!G5</f>
        <v>1454</v>
      </c>
      <c r="H5" s="2">
        <f>日累计通报!H5</f>
        <v>0.73660000000000003</v>
      </c>
      <c r="I5" s="2">
        <f>日累计通报!I5</f>
        <v>1222</v>
      </c>
      <c r="J5" s="2">
        <f>日累计通报!J5</f>
        <v>1.2930999999999999</v>
      </c>
      <c r="K5" s="2">
        <f>日累计通报!K5</f>
        <v>1235</v>
      </c>
      <c r="L5" s="2">
        <f>日累计通报!L5</f>
        <v>0.62560000000000004</v>
      </c>
      <c r="M5" s="2">
        <f>日累计通报!M5</f>
        <v>8382.5</v>
      </c>
      <c r="N5" s="2">
        <f>日累计通报!N5</f>
        <v>0.69299999999999995</v>
      </c>
      <c r="O5" s="2">
        <f>日累计通报!O5</f>
        <v>22540</v>
      </c>
      <c r="P5" s="2">
        <f>日累计通报!P5</f>
        <v>0.71889999999999998</v>
      </c>
      <c r="Q5" s="2">
        <f>日累计通报!Q5</f>
        <v>15087</v>
      </c>
      <c r="R5" s="2">
        <f>日累计通报!R5</f>
        <v>0.78600000000000003</v>
      </c>
      <c r="S5" s="2">
        <f>日累计通报!S5</f>
        <v>4196</v>
      </c>
      <c r="T5" s="2">
        <f>日累计通报!T5</f>
        <v>0.97950000000000004</v>
      </c>
      <c r="U5" s="2">
        <f>日累计通报!U5</f>
        <v>7060</v>
      </c>
      <c r="V5" s="2">
        <f>日累计通报!V5</f>
        <v>1</v>
      </c>
    </row>
    <row r="6" spans="1:22" x14ac:dyDescent="0.2">
      <c r="A6" s="2" t="str">
        <f>日累计通报!A6</f>
        <v>城区</v>
      </c>
      <c r="B6" s="2" t="str">
        <f>日累计通报!B6</f>
        <v>第一组</v>
      </c>
      <c r="C6" s="2" t="str">
        <f>日累计通报!C6</f>
        <v>中原</v>
      </c>
      <c r="D6" s="2">
        <f>日累计通报!D6</f>
        <v>0.75760000000000005</v>
      </c>
      <c r="E6" s="2">
        <f>日累计通报!E6</f>
        <v>12</v>
      </c>
      <c r="F6" s="2" t="str">
        <f>日累计通报!F6</f>
        <v>负</v>
      </c>
      <c r="G6" s="2">
        <f>日累计通报!G6</f>
        <v>1345</v>
      </c>
      <c r="H6" s="2">
        <f>日累计通报!H6</f>
        <v>0.78110000000000002</v>
      </c>
      <c r="I6" s="2">
        <f>日累计通报!I6</f>
        <v>678</v>
      </c>
      <c r="J6" s="2">
        <f>日累计通报!J6</f>
        <v>0.82779999999999998</v>
      </c>
      <c r="K6" s="2">
        <f>日累计通报!K6</f>
        <v>656.5</v>
      </c>
      <c r="L6" s="2">
        <f>日累计通报!L6</f>
        <v>0.40079999999999999</v>
      </c>
      <c r="M6" s="2">
        <f>日累计通报!M6</f>
        <v>10161</v>
      </c>
      <c r="N6" s="2">
        <f>日累计通报!N6</f>
        <v>0.99760000000000004</v>
      </c>
      <c r="O6" s="2">
        <f>日累计通报!O6</f>
        <v>13821</v>
      </c>
      <c r="P6" s="2">
        <f>日累计通报!P6</f>
        <v>0.60489999999999999</v>
      </c>
      <c r="Q6" s="2">
        <f>日累计通报!Q6</f>
        <v>11216</v>
      </c>
      <c r="R6" s="2">
        <f>日累计通报!R6</f>
        <v>0.68030000000000002</v>
      </c>
      <c r="S6" s="2">
        <f>日累计通报!S6</f>
        <v>4128</v>
      </c>
      <c r="T6" s="2">
        <f>日累计通报!T6</f>
        <v>1.1363000000000001</v>
      </c>
      <c r="U6" s="2">
        <f>日累计通报!U6</f>
        <v>7170</v>
      </c>
      <c r="V6" s="2">
        <f>日累计通报!V6</f>
        <v>1</v>
      </c>
    </row>
    <row r="7" spans="1:22" x14ac:dyDescent="0.2">
      <c r="A7" s="2" t="str">
        <f>日累计通报!A7</f>
        <v>城区</v>
      </c>
      <c r="B7" s="2" t="str">
        <f>日累计通报!B7</f>
        <v>第二组</v>
      </c>
      <c r="C7" s="2" t="str">
        <f>日累计通报!C7</f>
        <v>二七</v>
      </c>
      <c r="D7" s="2">
        <f>日累计通报!D7</f>
        <v>0.73980000000000001</v>
      </c>
      <c r="E7" s="2">
        <f>日累计通报!E7</f>
        <v>13</v>
      </c>
      <c r="F7" s="2" t="str">
        <f>日累计通报!F7</f>
        <v>负</v>
      </c>
      <c r="G7" s="2">
        <f>日累计通报!G7</f>
        <v>895</v>
      </c>
      <c r="H7" s="2">
        <f>日累计通报!H7</f>
        <v>0.69869999999999999</v>
      </c>
      <c r="I7" s="2">
        <f>日累计通报!I7</f>
        <v>821</v>
      </c>
      <c r="J7" s="2">
        <f>日累计通报!J7</f>
        <v>1.3031999999999999</v>
      </c>
      <c r="K7" s="2">
        <f>日累计通报!K7</f>
        <v>459</v>
      </c>
      <c r="L7" s="2">
        <f>日累计通报!L7</f>
        <v>0.36430000000000001</v>
      </c>
      <c r="M7" s="2">
        <f>日累计通报!M7</f>
        <v>5868</v>
      </c>
      <c r="N7" s="2">
        <f>日累计通报!N7</f>
        <v>0.75929999999999997</v>
      </c>
      <c r="O7" s="2">
        <f>日累计通报!O7</f>
        <v>8393</v>
      </c>
      <c r="P7" s="2">
        <f>日累计通报!P7</f>
        <v>0.4234</v>
      </c>
      <c r="Q7" s="2">
        <f>日累计通报!Q7</f>
        <v>9219</v>
      </c>
      <c r="R7" s="2">
        <f>日累计通报!R7</f>
        <v>0.70279999999999998</v>
      </c>
      <c r="S7" s="2">
        <f>日累计通报!S7</f>
        <v>2593</v>
      </c>
      <c r="T7" s="2">
        <f>日累计通报!T7</f>
        <v>0.93540000000000001</v>
      </c>
      <c r="U7" s="2">
        <f>日累计通报!U7</f>
        <v>4779</v>
      </c>
      <c r="V7" s="2">
        <f>日累计通报!V7</f>
        <v>0.92889999999999995</v>
      </c>
    </row>
    <row r="8" spans="1:22" x14ac:dyDescent="0.2">
      <c r="A8" s="2" t="str">
        <f>日累计通报!A8</f>
        <v>城区</v>
      </c>
      <c r="B8" s="2" t="str">
        <f>日累计通报!B8</f>
        <v>第二组</v>
      </c>
      <c r="C8" s="2" t="str">
        <f>日累计通报!C8</f>
        <v>管城</v>
      </c>
      <c r="D8" s="2">
        <f>日累计通报!D8</f>
        <v>0.8448</v>
      </c>
      <c r="E8" s="2">
        <f>日累计通报!E8</f>
        <v>3</v>
      </c>
      <c r="F8" s="2" t="str">
        <f>日累计通报!F8</f>
        <v>胜</v>
      </c>
      <c r="G8" s="2">
        <f>日累计通报!G8</f>
        <v>728</v>
      </c>
      <c r="H8" s="2">
        <f>日累计通报!H8</f>
        <v>0.57779999999999998</v>
      </c>
      <c r="I8" s="2">
        <f>日累计通报!I8</f>
        <v>1309</v>
      </c>
      <c r="J8" s="2">
        <f>日累计通报!J8</f>
        <v>2</v>
      </c>
      <c r="K8" s="2">
        <f>日累计通报!K8</f>
        <v>439</v>
      </c>
      <c r="L8" s="2">
        <f>日累计通报!L8</f>
        <v>0.38009999999999999</v>
      </c>
      <c r="M8" s="2">
        <f>日累计通报!M8</f>
        <v>4078</v>
      </c>
      <c r="N8" s="2">
        <f>日累计通报!N8</f>
        <v>0.56779999999999997</v>
      </c>
      <c r="O8" s="2">
        <f>日累计通报!O8</f>
        <v>10856</v>
      </c>
      <c r="P8" s="2">
        <f>日累计通报!P8</f>
        <v>0.60750000000000004</v>
      </c>
      <c r="Q8" s="2">
        <f>日累计通报!Q8</f>
        <v>6776</v>
      </c>
      <c r="R8" s="2">
        <f>日累计通报!R8</f>
        <v>0.69469999999999998</v>
      </c>
      <c r="S8" s="2">
        <f>日累计通报!S8</f>
        <v>3042</v>
      </c>
      <c r="T8" s="2">
        <f>日累计通报!T8</f>
        <v>1.1681999999999999</v>
      </c>
      <c r="U8" s="2">
        <f>日累计通报!U8</f>
        <v>3271</v>
      </c>
      <c r="V8" s="2">
        <f>日累计通报!V8</f>
        <v>0.64359999999999995</v>
      </c>
    </row>
    <row r="9" spans="1:22" x14ac:dyDescent="0.2">
      <c r="A9" s="2" t="str">
        <f>日累计通报!A9</f>
        <v>城区</v>
      </c>
      <c r="B9" s="2" t="str">
        <f>日累计通报!B9</f>
        <v>第三组</v>
      </c>
      <c r="C9" s="2" t="str">
        <f>日累计通报!C9</f>
        <v>郑东</v>
      </c>
      <c r="D9" s="2">
        <f>日累计通报!D9</f>
        <v>0.76</v>
      </c>
      <c r="E9" s="2">
        <f>日累计通报!E9</f>
        <v>11</v>
      </c>
      <c r="F9" s="2" t="str">
        <f>日累计通报!F9</f>
        <v>负</v>
      </c>
      <c r="G9" s="2">
        <f>日累计通报!G9</f>
        <v>456</v>
      </c>
      <c r="H9" s="2">
        <f>日累计通报!H9</f>
        <v>0.60319999999999996</v>
      </c>
      <c r="I9" s="2">
        <f>日累计通报!I9</f>
        <v>326</v>
      </c>
      <c r="J9" s="2">
        <f>日累计通报!J9</f>
        <v>0.91320000000000001</v>
      </c>
      <c r="K9" s="2">
        <f>日累计通报!K9</f>
        <v>613</v>
      </c>
      <c r="L9" s="2">
        <f>日累计通报!L9</f>
        <v>0.71199999999999997</v>
      </c>
      <c r="M9" s="2">
        <f>日累计通报!M9</f>
        <v>3668.5</v>
      </c>
      <c r="N9" s="2">
        <f>日累计通报!N9</f>
        <v>0.72189999999999999</v>
      </c>
      <c r="O9" s="2">
        <f>日累计通报!O9</f>
        <v>4649</v>
      </c>
      <c r="P9" s="2">
        <f>日累计通报!P9</f>
        <v>0.3448</v>
      </c>
      <c r="Q9" s="2">
        <f>日累计通报!Q9</f>
        <v>11313</v>
      </c>
      <c r="R9" s="2">
        <f>日累计通报!R9</f>
        <v>1.1216999999999999</v>
      </c>
      <c r="S9" s="2">
        <f>日累计通报!S9</f>
        <v>1720</v>
      </c>
      <c r="T9" s="2">
        <f>日累计通报!T9</f>
        <v>0.97509999999999997</v>
      </c>
      <c r="U9" s="2">
        <f>日累计通报!U9</f>
        <v>2330</v>
      </c>
      <c r="V9" s="2">
        <f>日累计通报!V9</f>
        <v>0.72050000000000003</v>
      </c>
    </row>
    <row r="10" spans="1:22" x14ac:dyDescent="0.2">
      <c r="A10" s="2" t="str">
        <f>日累计通报!A10</f>
        <v>城区</v>
      </c>
      <c r="B10" s="2" t="str">
        <f>日累计通报!B10</f>
        <v>第三组</v>
      </c>
      <c r="C10" s="2" t="str">
        <f>日累计通报!C10</f>
        <v>惠济</v>
      </c>
      <c r="D10" s="2">
        <f>日累计通报!D10</f>
        <v>0.88739999999999997</v>
      </c>
      <c r="E10" s="2">
        <f>日累计通报!E10</f>
        <v>1</v>
      </c>
      <c r="F10" s="2" t="str">
        <f>日累计通报!F10</f>
        <v>胜</v>
      </c>
      <c r="G10" s="2">
        <f>日累计通报!G10</f>
        <v>512</v>
      </c>
      <c r="H10" s="2">
        <f>日累计通报!H10</f>
        <v>0.78649999999999998</v>
      </c>
      <c r="I10" s="2">
        <f>日累计通报!I10</f>
        <v>558</v>
      </c>
      <c r="J10" s="2">
        <f>日累计通报!J10</f>
        <v>1.8979999999999999</v>
      </c>
      <c r="K10" s="2">
        <f>日累计通报!K10</f>
        <v>422</v>
      </c>
      <c r="L10" s="2">
        <f>日累计通报!L10</f>
        <v>0.6482</v>
      </c>
      <c r="M10" s="2">
        <f>日累计通报!M10</f>
        <v>3005.5</v>
      </c>
      <c r="N10" s="2">
        <f>日累计通报!N10</f>
        <v>0.74539999999999995</v>
      </c>
      <c r="O10" s="2">
        <f>日累计通报!O10</f>
        <v>1898</v>
      </c>
      <c r="P10" s="2">
        <f>日累计通报!P10</f>
        <v>0.2054</v>
      </c>
      <c r="Q10" s="2">
        <f>日累计通报!Q10</f>
        <v>8398</v>
      </c>
      <c r="R10" s="2">
        <f>日累计通报!R10</f>
        <v>0.98350000000000004</v>
      </c>
      <c r="S10" s="2">
        <f>日累计通报!S10</f>
        <v>1326</v>
      </c>
      <c r="T10" s="2">
        <f>日累计通报!T10</f>
        <v>0.97140000000000004</v>
      </c>
      <c r="U10" s="2">
        <f>日累计通报!U10</f>
        <v>1841</v>
      </c>
      <c r="V10" s="2">
        <f>日累计通报!V10</f>
        <v>0.74929999999999997</v>
      </c>
    </row>
    <row r="11" spans="1:22" x14ac:dyDescent="0.2">
      <c r="A11" s="2" t="str">
        <f>日累计通报!A11</f>
        <v>县区</v>
      </c>
      <c r="B11" s="2" t="str">
        <f>日累计通报!B11</f>
        <v>第四组</v>
      </c>
      <c r="C11" s="2" t="str">
        <f>日累计通报!C11</f>
        <v>新郑</v>
      </c>
      <c r="D11" s="2">
        <f>日累计通报!D11</f>
        <v>0.76470000000000005</v>
      </c>
      <c r="E11" s="2">
        <f>日累计通报!E11</f>
        <v>9</v>
      </c>
      <c r="F11" s="2" t="str">
        <f>日累计通报!F11</f>
        <v>负</v>
      </c>
      <c r="G11" s="2">
        <f>日累计通报!G11</f>
        <v>561</v>
      </c>
      <c r="H11" s="2">
        <f>日累计通报!H11</f>
        <v>0.46060000000000001</v>
      </c>
      <c r="I11" s="2">
        <f>日累计通报!I11</f>
        <v>800</v>
      </c>
      <c r="J11" s="2">
        <f>日累计通报!J11</f>
        <v>1.5238</v>
      </c>
      <c r="K11" s="2">
        <f>日累计通报!K11</f>
        <v>387</v>
      </c>
      <c r="L11" s="2">
        <f>日累计通报!L11</f>
        <v>0.31769999999999998</v>
      </c>
      <c r="M11" s="2">
        <f>日累计通报!M11</f>
        <v>6080</v>
      </c>
      <c r="N11" s="2">
        <f>日累计通报!N11</f>
        <v>0.82020000000000004</v>
      </c>
      <c r="O11" s="2">
        <f>日累计通报!O11</f>
        <v>19330</v>
      </c>
      <c r="P11" s="2">
        <f>日累计通报!P11</f>
        <v>0.96279999999999999</v>
      </c>
      <c r="Q11" s="2">
        <f>日累计通报!Q11</f>
        <v>9181</v>
      </c>
      <c r="R11" s="2">
        <f>日累计通报!R11</f>
        <v>0.46510000000000001</v>
      </c>
      <c r="S11" s="2">
        <f>日累计通报!S11</f>
        <v>2318</v>
      </c>
      <c r="T11" s="2">
        <f>日累计通报!T11</f>
        <v>0.91220000000000001</v>
      </c>
      <c r="U11" s="2">
        <f>日累计通报!U11</f>
        <v>3328</v>
      </c>
      <c r="V11" s="2">
        <f>日累计通报!V11</f>
        <v>0.63900000000000001</v>
      </c>
    </row>
    <row r="12" spans="1:22" x14ac:dyDescent="0.2">
      <c r="A12" s="2" t="str">
        <f>日累计通报!A12</f>
        <v>县区</v>
      </c>
      <c r="B12" s="2" t="str">
        <f>日累计通报!B12</f>
        <v>第四组</v>
      </c>
      <c r="C12" s="2" t="str">
        <f>日累计通报!C12</f>
        <v>中牟</v>
      </c>
      <c r="D12" s="2">
        <f>日累计通报!D12</f>
        <v>0.76680000000000004</v>
      </c>
      <c r="E12" s="2">
        <f>日累计通报!E12</f>
        <v>8</v>
      </c>
      <c r="F12" s="2" t="str">
        <f>日累计通报!F12</f>
        <v>胜</v>
      </c>
      <c r="G12" s="2">
        <f>日累计通报!G12</f>
        <v>593</v>
      </c>
      <c r="H12" s="2">
        <f>日累计通报!H12</f>
        <v>0.50429999999999997</v>
      </c>
      <c r="I12" s="2">
        <f>日累计通报!I12</f>
        <v>614</v>
      </c>
      <c r="J12" s="2">
        <f>日累计通报!J12</f>
        <v>1.329</v>
      </c>
      <c r="K12" s="2">
        <f>日累计通报!K12</f>
        <v>338.5</v>
      </c>
      <c r="L12" s="2">
        <f>日累计通报!L12</f>
        <v>0.30409999999999998</v>
      </c>
      <c r="M12" s="2">
        <f>日累计通报!M12</f>
        <v>4726.5</v>
      </c>
      <c r="N12" s="2">
        <f>日累计通报!N12</f>
        <v>0.68830000000000002</v>
      </c>
      <c r="O12" s="2">
        <f>日累计通报!O12</f>
        <v>17255</v>
      </c>
      <c r="P12" s="2">
        <f>日累计通报!P12</f>
        <v>0.93269999999999997</v>
      </c>
      <c r="Q12" s="2">
        <f>日累计通报!Q12</f>
        <v>9620</v>
      </c>
      <c r="R12" s="2">
        <f>日累计通报!R12</f>
        <v>0.70279999999999998</v>
      </c>
      <c r="S12" s="2">
        <f>日累计通报!S12</f>
        <v>2433</v>
      </c>
      <c r="T12" s="2">
        <f>日累计通报!T12</f>
        <v>1.0438000000000001</v>
      </c>
      <c r="U12" s="2">
        <f>日累计通报!U12</f>
        <v>2477</v>
      </c>
      <c r="V12" s="2">
        <f>日累计通报!V12</f>
        <v>0.55379999999999996</v>
      </c>
    </row>
    <row r="13" spans="1:22" x14ac:dyDescent="0.2">
      <c r="A13" s="2" t="str">
        <f>日累计通报!A13</f>
        <v>县区</v>
      </c>
      <c r="B13" s="2" t="str">
        <f>日累计通报!B13</f>
        <v>第五组</v>
      </c>
      <c r="C13" s="2" t="str">
        <f>日累计通报!C13</f>
        <v>新密</v>
      </c>
      <c r="D13" s="2">
        <f>日累计通报!D13</f>
        <v>0.68879999999999997</v>
      </c>
      <c r="E13" s="2">
        <f>日累计通报!E13</f>
        <v>14</v>
      </c>
      <c r="F13" s="2" t="str">
        <f>日累计通报!F13</f>
        <v>负</v>
      </c>
      <c r="G13" s="2">
        <f>日累计通报!G13</f>
        <v>631</v>
      </c>
      <c r="H13" s="2">
        <f>日累计通报!H13</f>
        <v>0.6532</v>
      </c>
      <c r="I13" s="2">
        <f>日累计通报!I13</f>
        <v>367</v>
      </c>
      <c r="J13" s="2">
        <f>日累计通报!J13</f>
        <v>1.028</v>
      </c>
      <c r="K13" s="2">
        <f>日累计通报!K13</f>
        <v>311</v>
      </c>
      <c r="L13" s="2">
        <f>日累计通报!L13</f>
        <v>0.37019999999999997</v>
      </c>
      <c r="M13" s="2">
        <f>日累计通报!M13</f>
        <v>2581</v>
      </c>
      <c r="N13" s="2">
        <f>日累计通报!N13</f>
        <v>0.49359999999999998</v>
      </c>
      <c r="O13" s="2">
        <f>日累计通报!O13</f>
        <v>14613</v>
      </c>
      <c r="P13" s="2">
        <f>日累计通报!P13</f>
        <v>1.0689</v>
      </c>
      <c r="Q13" s="2">
        <f>日累计通报!Q13</f>
        <v>2951</v>
      </c>
      <c r="R13" s="2">
        <f>日累计通报!R13</f>
        <v>0.36630000000000001</v>
      </c>
      <c r="S13" s="2">
        <f>日累计通报!S13</f>
        <v>1475</v>
      </c>
      <c r="T13" s="2">
        <f>日累计通报!T13</f>
        <v>0.84619999999999995</v>
      </c>
      <c r="U13" s="2">
        <f>日累计通报!U13</f>
        <v>2392</v>
      </c>
      <c r="V13" s="2">
        <f>日累计通报!V13</f>
        <v>0.63629999999999998</v>
      </c>
    </row>
    <row r="14" spans="1:22" x14ac:dyDescent="0.2">
      <c r="A14" s="2" t="str">
        <f>日累计通报!A14</f>
        <v>县区</v>
      </c>
      <c r="B14" s="2" t="str">
        <f>日累计通报!B14</f>
        <v>第五组</v>
      </c>
      <c r="C14" s="2" t="str">
        <f>日累计通报!C14</f>
        <v>荥阳</v>
      </c>
      <c r="D14" s="2">
        <f>日累计通报!D14</f>
        <v>0.76910000000000001</v>
      </c>
      <c r="E14" s="2">
        <f>日累计通报!E14</f>
        <v>7</v>
      </c>
      <c r="F14" s="2" t="str">
        <f>日累计通报!F14</f>
        <v>胜</v>
      </c>
      <c r="G14" s="2">
        <f>日累计通报!G14</f>
        <v>571</v>
      </c>
      <c r="H14" s="2">
        <f>日累计通报!H14</f>
        <v>0.69720000000000004</v>
      </c>
      <c r="I14" s="2">
        <f>日累计通报!I14</f>
        <v>428</v>
      </c>
      <c r="J14" s="2">
        <f>日累计通报!J14</f>
        <v>1.2738</v>
      </c>
      <c r="K14" s="2">
        <f>日累计通报!K14</f>
        <v>350</v>
      </c>
      <c r="L14" s="2">
        <f>日累计通报!L14</f>
        <v>0.47620000000000001</v>
      </c>
      <c r="M14" s="2">
        <f>日累计通报!M14</f>
        <v>3027.5</v>
      </c>
      <c r="N14" s="2">
        <f>日累计通报!N14</f>
        <v>0.6583</v>
      </c>
      <c r="O14" s="2">
        <f>日累计通报!O14</f>
        <v>8555</v>
      </c>
      <c r="P14" s="2">
        <f>日累计通报!P14</f>
        <v>0.81969999999999998</v>
      </c>
      <c r="Q14" s="2">
        <f>日累计通报!Q14</f>
        <v>3964</v>
      </c>
      <c r="R14" s="2">
        <f>日累计通报!R14</f>
        <v>0.50639999999999996</v>
      </c>
      <c r="S14" s="2">
        <f>日累计通报!S14</f>
        <v>1412</v>
      </c>
      <c r="T14" s="2">
        <f>日累计通报!T14</f>
        <v>0.87319999999999998</v>
      </c>
      <c r="U14" s="2">
        <f>日累计通报!U14</f>
        <v>2651</v>
      </c>
      <c r="V14" s="2">
        <f>日累计通报!V14</f>
        <v>1</v>
      </c>
    </row>
    <row r="15" spans="1:22" x14ac:dyDescent="0.2">
      <c r="A15" s="2" t="str">
        <f>日累计通报!A15</f>
        <v>县区</v>
      </c>
      <c r="B15" s="2" t="str">
        <f>日累计通报!B15</f>
        <v>第六组</v>
      </c>
      <c r="C15" s="2" t="str">
        <f>日累计通报!C15</f>
        <v>港区</v>
      </c>
      <c r="D15" s="2">
        <f>日累计通报!D15</f>
        <v>0.76280000000000003</v>
      </c>
      <c r="E15" s="2">
        <f>日累计通报!E15</f>
        <v>10</v>
      </c>
      <c r="F15" s="2" t="str">
        <f>日累计通报!F15</f>
        <v>负</v>
      </c>
      <c r="G15" s="2">
        <f>日累计通报!G15</f>
        <v>409</v>
      </c>
      <c r="H15" s="2">
        <f>日累计通报!H15</f>
        <v>0.59019999999999995</v>
      </c>
      <c r="I15" s="2">
        <f>日累计通报!I15</f>
        <v>435</v>
      </c>
      <c r="J15" s="2">
        <f>日累计通报!J15</f>
        <v>1.5933999999999999</v>
      </c>
      <c r="K15" s="2">
        <f>日累计通报!K15</f>
        <v>279</v>
      </c>
      <c r="L15" s="2">
        <f>日累计通报!L15</f>
        <v>0.42859999999999998</v>
      </c>
      <c r="M15" s="2">
        <f>日累计通报!M15</f>
        <v>2206</v>
      </c>
      <c r="N15" s="2">
        <f>日累计通报!N15</f>
        <v>0.55000000000000004</v>
      </c>
      <c r="O15" s="2">
        <f>日累计通报!O15</f>
        <v>5651</v>
      </c>
      <c r="P15" s="2">
        <f>日累计通报!P15</f>
        <v>0.58750000000000002</v>
      </c>
      <c r="Q15" s="2">
        <f>日累计通报!Q15</f>
        <v>2740</v>
      </c>
      <c r="R15" s="2">
        <f>日累计通报!R15</f>
        <v>0.44669999999999999</v>
      </c>
      <c r="S15" s="2">
        <f>日累计通报!S15</f>
        <v>1559</v>
      </c>
      <c r="T15" s="2">
        <f>日累计通报!T15</f>
        <v>1.1080000000000001</v>
      </c>
      <c r="U15" s="2">
        <f>日累计通报!U15</f>
        <v>4241</v>
      </c>
      <c r="V15" s="2">
        <f>日累计通报!V15</f>
        <v>1</v>
      </c>
    </row>
    <row r="16" spans="1:22" x14ac:dyDescent="0.2">
      <c r="A16" s="2" t="str">
        <f>日累计通报!A16</f>
        <v>县区</v>
      </c>
      <c r="B16" s="2" t="str">
        <f>日累计通报!B16</f>
        <v>第六组</v>
      </c>
      <c r="C16" s="2" t="str">
        <f>日累计通报!C16</f>
        <v>巩义</v>
      </c>
      <c r="D16" s="2">
        <f>日累计通报!D16</f>
        <v>0.81440000000000001</v>
      </c>
      <c r="E16" s="2">
        <f>日累计通报!E16</f>
        <v>5</v>
      </c>
      <c r="F16" s="2" t="str">
        <f>日累计通报!F16</f>
        <v>胜</v>
      </c>
      <c r="G16" s="2">
        <f>日累计通报!G16</f>
        <v>393</v>
      </c>
      <c r="H16" s="2">
        <f>日累计通报!H16</f>
        <v>0.51980000000000004</v>
      </c>
      <c r="I16" s="2">
        <f>日累计通报!I16</f>
        <v>587</v>
      </c>
      <c r="J16" s="2">
        <f>日累计通报!J16</f>
        <v>1.7470000000000001</v>
      </c>
      <c r="K16" s="2">
        <f>日累计通报!K16</f>
        <v>210.5</v>
      </c>
      <c r="L16" s="2">
        <f>日累计通报!L16</f>
        <v>0.28639999999999999</v>
      </c>
      <c r="M16" s="2">
        <f>日累计通报!M16</f>
        <v>2726.5</v>
      </c>
      <c r="N16" s="2">
        <f>日累计通报!N16</f>
        <v>0.60109999999999997</v>
      </c>
      <c r="O16" s="2">
        <f>日累计通报!O16</f>
        <v>11974</v>
      </c>
      <c r="P16" s="2">
        <f>日累计通报!P16</f>
        <v>1.0367</v>
      </c>
      <c r="Q16" s="2">
        <f>日累计通报!Q16</f>
        <v>4590</v>
      </c>
      <c r="R16" s="2">
        <f>日累计通报!R16</f>
        <v>0.54059999999999997</v>
      </c>
      <c r="S16" s="2">
        <f>日累计通报!S16</f>
        <v>1523</v>
      </c>
      <c r="T16" s="2">
        <f>日累计通报!T16</f>
        <v>0.98009999999999997</v>
      </c>
      <c r="U16" s="2">
        <f>日累计通报!U16</f>
        <v>1774</v>
      </c>
      <c r="V16" s="2">
        <f>日累计通报!V16</f>
        <v>0.73460000000000003</v>
      </c>
    </row>
    <row r="17" spans="1:22" x14ac:dyDescent="0.2">
      <c r="A17" s="2" t="str">
        <f>日累计通报!A17</f>
        <v>县区</v>
      </c>
      <c r="B17" s="2" t="str">
        <f>日累计通报!B17</f>
        <v>第七组</v>
      </c>
      <c r="C17" s="2" t="str">
        <f>日累计通报!C17</f>
        <v>登封</v>
      </c>
      <c r="D17" s="2">
        <f>日累计通报!D17</f>
        <v>0.86829999999999996</v>
      </c>
      <c r="E17" s="2">
        <f>日累计通报!E17</f>
        <v>2</v>
      </c>
      <c r="F17" s="2" t="str">
        <f>日累计通报!F17</f>
        <v>胜</v>
      </c>
      <c r="G17" s="2">
        <f>日累计通报!G17</f>
        <v>404</v>
      </c>
      <c r="H17" s="2">
        <f>日累计通报!H17</f>
        <v>0.56579999999999997</v>
      </c>
      <c r="I17" s="2">
        <f>日累计通报!I17</f>
        <v>555</v>
      </c>
      <c r="J17" s="2">
        <f>日累计通报!J17</f>
        <v>1.8877999999999999</v>
      </c>
      <c r="K17" s="2">
        <f>日累计通报!K17</f>
        <v>283.5</v>
      </c>
      <c r="L17" s="2">
        <f>日累计通报!L17</f>
        <v>0.46550000000000002</v>
      </c>
      <c r="M17" s="2">
        <f>日累计通报!M17</f>
        <v>2085</v>
      </c>
      <c r="N17" s="2">
        <f>日累计通报!N17</f>
        <v>0.55779999999999996</v>
      </c>
      <c r="O17" s="2">
        <f>日累计通报!O17</f>
        <v>8279</v>
      </c>
      <c r="P17" s="2">
        <f>日累计通报!P17</f>
        <v>0.96860000000000002</v>
      </c>
      <c r="Q17" s="2">
        <f>日累计通报!Q17</f>
        <v>3565</v>
      </c>
      <c r="R17" s="2">
        <f>日累计通报!R17</f>
        <v>0.73509999999999998</v>
      </c>
      <c r="S17" s="2">
        <f>日累计通报!S17</f>
        <v>1273</v>
      </c>
      <c r="T17" s="2">
        <f>日累计通报!T17</f>
        <v>0.94720000000000004</v>
      </c>
      <c r="U17" s="2">
        <f>日累计通报!U17</f>
        <v>1260</v>
      </c>
      <c r="V17" s="2">
        <f>日累计通报!V17</f>
        <v>0.48780000000000001</v>
      </c>
    </row>
    <row r="18" spans="1:22" x14ac:dyDescent="0.2">
      <c r="A18" s="2" t="str">
        <f>日累计通报!A18</f>
        <v>县区</v>
      </c>
      <c r="B18" s="2" t="str">
        <f>日累计通报!B18</f>
        <v>第七组</v>
      </c>
      <c r="C18" s="2" t="str">
        <f>日累计通报!C18</f>
        <v>上街</v>
      </c>
      <c r="D18" s="2">
        <f>日累计通报!D18</f>
        <v>0.78800000000000003</v>
      </c>
      <c r="E18" s="2">
        <f>日累计通报!E18</f>
        <v>6</v>
      </c>
      <c r="F18" s="2" t="str">
        <f>日累计通报!F18</f>
        <v>负</v>
      </c>
      <c r="G18" s="2">
        <f>日累计通报!G18</f>
        <v>125</v>
      </c>
      <c r="H18" s="2">
        <f>日累计通报!H18</f>
        <v>0.54110000000000003</v>
      </c>
      <c r="I18" s="2">
        <f>日累计通报!I18</f>
        <v>106</v>
      </c>
      <c r="J18" s="2">
        <f>日累计通报!J18</f>
        <v>1.0095000000000001</v>
      </c>
      <c r="K18" s="2">
        <f>日累计通报!K18</f>
        <v>75</v>
      </c>
      <c r="L18" s="2">
        <f>日累计通报!L18</f>
        <v>0.35709999999999997</v>
      </c>
      <c r="M18" s="2">
        <f>日累计通报!M18</f>
        <v>967.5</v>
      </c>
      <c r="N18" s="2">
        <f>日累计通报!N18</f>
        <v>0.74309999999999998</v>
      </c>
      <c r="O18" s="2">
        <f>日累计通报!O18</f>
        <v>3804</v>
      </c>
      <c r="P18" s="2">
        <f>日累计通报!P18</f>
        <v>1.2757000000000001</v>
      </c>
      <c r="Q18" s="2">
        <f>日累计通报!Q18</f>
        <v>1194</v>
      </c>
      <c r="R18" s="2">
        <f>日累计通报!R18</f>
        <v>0.64119999999999999</v>
      </c>
      <c r="S18" s="2">
        <f>日累计通报!S18</f>
        <v>416</v>
      </c>
      <c r="T18" s="2">
        <f>日累计通报!T18</f>
        <v>0.90039999999999998</v>
      </c>
      <c r="U18" s="2">
        <f>日累计通报!U18</f>
        <v>1036</v>
      </c>
      <c r="V18" s="2">
        <f>日累计通报!V18</f>
        <v>1</v>
      </c>
    </row>
    <row r="19" spans="1:22" x14ac:dyDescent="0.2">
      <c r="A19" s="2" t="str">
        <f>日累计通报!A19</f>
        <v/>
      </c>
      <c r="B19" s="2" t="str">
        <f>日累计通报!B19</f>
        <v/>
      </c>
      <c r="C19" s="2" t="str">
        <f>日累计通报!C19</f>
        <v>线上</v>
      </c>
      <c r="D19" s="2" t="str">
        <f>日累计通报!D19</f>
        <v/>
      </c>
      <c r="E19" s="2" t="str">
        <f>日累计通报!E19</f>
        <v/>
      </c>
      <c r="F19" s="2" t="str">
        <f>日累计通报!F19</f>
        <v/>
      </c>
      <c r="G19" s="2">
        <f>日累计通报!G19</f>
        <v>52</v>
      </c>
      <c r="H19" s="2" t="str">
        <f>日累计通报!H19</f>
        <v/>
      </c>
      <c r="I19" s="2">
        <f>日累计通报!I19</f>
        <v>0</v>
      </c>
      <c r="J19" s="2" t="str">
        <f>日累计通报!J19</f>
        <v/>
      </c>
      <c r="K19" s="2">
        <f>日累计通报!K19</f>
        <v>0.5</v>
      </c>
      <c r="L19" s="2" t="str">
        <f>日累计通报!L19</f>
        <v/>
      </c>
      <c r="M19" s="2">
        <f>日累计通报!M19</f>
        <v>2096.5</v>
      </c>
      <c r="N19" s="2" t="str">
        <f>日累计通报!N19</f>
        <v/>
      </c>
      <c r="O19" s="2">
        <f>日累计通报!O19</f>
        <v>0</v>
      </c>
      <c r="P19" s="2" t="str">
        <f>日累计通报!P19</f>
        <v/>
      </c>
      <c r="Q19" s="2">
        <f>日累计通报!Q19</f>
        <v>160</v>
      </c>
      <c r="R19" s="2" t="str">
        <f>日累计通报!R19</f>
        <v/>
      </c>
      <c r="S19" s="2">
        <f>日累计通报!S19</f>
        <v>0</v>
      </c>
      <c r="T19" s="2" t="str">
        <f>日累计通报!T19</f>
        <v/>
      </c>
      <c r="U19" s="2">
        <f>日累计通报!U19</f>
        <v>0</v>
      </c>
      <c r="V19" s="2" t="str">
        <f>日累计通报!V19</f>
        <v/>
      </c>
    </row>
    <row r="20" spans="1:22" x14ac:dyDescent="0.2">
      <c r="A20" s="2" t="str">
        <f>日累计通报!A20</f>
        <v>郑州</v>
      </c>
      <c r="B20" s="2" t="str">
        <f>日累计通报!B20</f>
        <v>郑州</v>
      </c>
      <c r="C20" s="2" t="str">
        <f>日累计通报!C20</f>
        <v>郑州</v>
      </c>
      <c r="D20" s="2">
        <f>日累计通报!D20</f>
        <v>0.79920000000000002</v>
      </c>
      <c r="E20" s="2" t="str">
        <f>日累计通报!E20</f>
        <v/>
      </c>
      <c r="F20" s="2" t="str">
        <f>日累计通报!F20</f>
        <v/>
      </c>
      <c r="G20" s="2">
        <f>日累计通报!G20</f>
        <v>9129</v>
      </c>
      <c r="H20" s="2">
        <f>日累计通报!H20</f>
        <v>0.6421</v>
      </c>
      <c r="I20" s="2">
        <f>日累计通报!I20</f>
        <v>8806</v>
      </c>
      <c r="J20" s="2">
        <f>日累计通报!J20</f>
        <v>1.3977999999999999</v>
      </c>
      <c r="K20" s="2">
        <f>日累计通报!K20</f>
        <v>6059.5</v>
      </c>
      <c r="L20" s="2">
        <f>日累计通报!L20</f>
        <v>0.44390000000000002</v>
      </c>
      <c r="M20" s="2">
        <f>日累计通报!M20</f>
        <v>61661</v>
      </c>
      <c r="N20" s="2">
        <f>日累计通报!N20</f>
        <v>0.73409999999999997</v>
      </c>
      <c r="O20" s="2">
        <f>日累计通报!O20</f>
        <v>151618</v>
      </c>
      <c r="P20" s="2">
        <f>日累计通报!P20</f>
        <v>0.72199999999999998</v>
      </c>
      <c r="Q20" s="2">
        <f>日累计通报!Q20</f>
        <v>99974</v>
      </c>
      <c r="R20" s="2">
        <f>日累计通报!R20</f>
        <v>0.67630000000000001</v>
      </c>
      <c r="S20" s="2">
        <f>日累计通报!S20</f>
        <v>29414</v>
      </c>
      <c r="T20" s="2">
        <f>日累计通报!T20</f>
        <v>1.0004999999999999</v>
      </c>
      <c r="U20" s="2">
        <f>日累计通报!U20</f>
        <v>45610</v>
      </c>
      <c r="V20" s="2">
        <f>日累计通报!V20</f>
        <v>0.86880000000000002</v>
      </c>
    </row>
  </sheetData>
  <mergeCells count="17">
    <mergeCell ref="O4:P4"/>
    <mergeCell ref="Q4:R4"/>
    <mergeCell ref="S4:T4"/>
    <mergeCell ref="U4:V4"/>
    <mergeCell ref="A4:C4"/>
    <mergeCell ref="D4:F4"/>
    <mergeCell ref="G4:H4"/>
    <mergeCell ref="I4:J4"/>
    <mergeCell ref="K4:L4"/>
    <mergeCell ref="M4:N4"/>
    <mergeCell ref="A1:V1"/>
    <mergeCell ref="A2:A3"/>
    <mergeCell ref="B2:B3"/>
    <mergeCell ref="C2:C3"/>
    <mergeCell ref="D2:F2"/>
    <mergeCell ref="G2:N2"/>
    <mergeCell ref="O2:V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AFA5-C9F1-4FAC-BF61-A879610C3665}">
  <dimension ref="A1"/>
  <sheetViews>
    <sheetView workbookViewId="0">
      <selection activeCell="A14" sqref="A14"/>
    </sheetView>
  </sheetViews>
  <sheetFormatPr defaultRowHeight="14.25" x14ac:dyDescent="0.2"/>
  <cols>
    <col min="1" max="1" width="37.5" customWidth="1"/>
  </cols>
  <sheetData>
    <row r="1" spans="1:1" x14ac:dyDescent="0.2">
      <c r="A1">
        <f>通报!V20</f>
        <v>0.86880000000000002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日通报</vt:lpstr>
      <vt:lpstr>日累计通报</vt:lpstr>
      <vt:lpstr>通报</vt:lpstr>
      <vt:lpstr>通报语句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 yu</cp:lastModifiedBy>
  <dcterms:created xsi:type="dcterms:W3CDTF">2025-02-16T16:53:48Z</dcterms:created>
  <dcterms:modified xsi:type="dcterms:W3CDTF">2026-04-21T12:43:08Z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1F68F6BB360FA72ADA338768ED120BA5</vt:lpwstr>
  </property>
  <property fmtid="{D5CDD505-2E9C-101B-9397-08002B2CF9AE}" pid="3" name="KSOProductBuildVer">
    <vt:lpwstr>2052-11.8.2.12019</vt:lpwstr>
  </property>
  <property fmtid="{D5CDD505-2E9C-101B-9397-08002B2CF9AE}" pid="4" name="DSMMark">
    <vt:r8>0</vt:r8>
  </property>
</Properties>
</file>